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Сводка" r:id="rId1" sheetId="1" state="visible"/>
    <sheet name="Допущения" r:id="rId2" sheetId="2" state="visible"/>
    <sheet name="План_Пессимистичный" r:id="rId3" sheetId="3" state="visible"/>
    <sheet name="План_Базовый" r:id="rId4" sheetId="4" state="visible"/>
    <sheet name="План_Оптимистичный" r:id="rId5" sheetId="5" state="visible"/>
    <sheet name="Маржа и безубыточность" r:id="rId6" sheetId="6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<sst xmlns="http://schemas.openxmlformats.org/spreadsheetml/2006/main" xmlns:a="http://schemas.openxmlformats.org/drawingml/2006/main" xmlns:a15="http://schemas.microsoft.com/office/drawing/2012/main" xmlns:asvg="http://schemas.microsoft.com/office/drawing/2016/SVG/main" xmlns:c="http://schemas.openxmlformats.org/drawingml/2006/chart" xmlns:co="http://ncloudtech.com" xmlns:co-ooxml="http://ncloudtech.com/ooxml" xmlns:m="http://schemas.openxmlformats.org/officeDocument/2006/math" xmlns:mc="http://schemas.openxmlformats.org/markup-compatibility/2006" xmlns:o="urn:schemas-microsoft-com:office:office" xmlns:p="http://schemas.openxmlformats.org/presentationml/2006/main" xmlns:pic="http://schemas.openxmlformats.org/drawingml/2006/picture" xmlns:r="http://schemas.openxmlformats.org/officeDocument/2006/relationships" xmlns:s="http://schemas.openxmlformats.org/officeDocument/2006/sharedTypes" xmlns:sl="http://schemas.openxmlformats.org/schemaLibrary/2006/main" xmlns:v="urn:schemas-microsoft-com:vml" xmlns:w="http://schemas.openxmlformats.org/wordprocessingml/2006/main" xmlns:w10="urn:schemas-microsoft-com:office:word" xmlns:w14="http://schemas.microsoft.com/office/word/2010/wordml" xmlns:w15="http://schemas.microsoft.com/office/word/2012/wordml" xmlns:wp="http://schemas.openxmlformats.org/drawingml/2006/wordprocessingDrawing" xmlns:wpg="http://schemas.microsoft.com/office/word/2010/wordprocessingGroup" xmlns:wps="http://schemas.microsoft.com/office/word/2010/wordprocessingShape" xmlns:x="urn:schemas-microsoft-com:office:excel" xmlns:x12ac="http://schemas.microsoft.com/office/spreadsheetml/2011/1/ac" xmlns:x14="http://schemas.microsoft.com/office/spreadsheetml/2009/9/main" xmlns:xdr="http://schemas.openxmlformats.org/drawingml/2006/spreadsheetDrawing" xmlns:xm="http://schemas.microsoft.com/office/excel/2006/main" mc:Ignorable="co co-ooxml w14 x14 w15">
  <si>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Entropiq: сводка финансового плана на 12 месяцев</t>
  </si>
  <si>
    <t>Менять цифры нужно на листе «Допущения». Здесь всё пересчитывается само.</t>
  </si>
  <si>
    <t>Показатель</t>
  </si>
  <si>
    <t>Пессимистичный</t>
  </si>
  <si>
    <t>Базовый</t>
  </si>
  <si>
    <t>Оптимистичный</t>
  </si>
  <si>
    <t>Регистрации за год</t>
  </si>
  <si>
    <t>Платящих на конец года</t>
  </si>
  <si>
    <t>Выручка, руб.</t>
  </si>
  <si>
    <t>Расходы, руб.</t>
  </si>
  <si>
    <t>Операционная прибыль, руб.</t>
  </si>
  <si>
    <t>Первоначальные инвестиции, руб.</t>
  </si>
  <si>
    <t>Результат после инвестиций, руб.</t>
  </si>
  <si>
    <t>ROI = результат после инвестиций / инвестиции</t>
  </si>
  <si>
    <t>Маржинальность, %</t>
  </si>
  <si>
    <t>Чистая маржа, %</t>
  </si>
  <si>
    <t>Безубыточность, платящих (мес. 4–12)</t>
  </si>
  <si>
    <t>Месяц окупаемости</t>
  </si>
  <si>
    <t>LTV / CAC</t>
  </si>
  <si>
    <t>Накопленный денежный поток по месяцам, руб.</t>
  </si>
  <si>
    <t>Месяц</t>
  </si>
  <si>
    <t>Entropiq: финансовый план. Допущения</t>
  </si>
  <si>
    <t>Синий текст: вводные данные, их можно менять.</t>
  </si>
  <si/>
  <si>
    <t>Общие параметры</t>
  </si>
  <si>
    <t>Значение</t>
  </si>
  <si>
    <t>Комментарий / источник</t>
  </si>
  <si>
    <t>Цена годовой подписки, руб.</t>
  </si>
  <si>
    <t>Цена Premium в проекте (лендинг, условия)</t>
  </si>
  <si>
    <t>Цена месячной подписки, руб.</t>
  </si>
  <si>
    <t>Цена Premium в проекте (ENQ-129)</t>
  </si>
  <si>
    <t>Доля годовых подписок</t>
  </si>
  <si>
    <t>Допущение проекта (docs/financial-model.md, п. 1.1)</t>
  </si>
  <si>
    <t>ARPU, руб. в месяц на платящего</t>
  </si>
  <si>
    <t>Формула: доля годовых × цена/12 + доля месячных × цена</t>
  </si>
  <si>
    <t>Комиссия ЮKassa, % от выручки</t>
  </si>
  <si>
    <t>Допущение проекта; уточнить по тарифу ЮKassa при подключении</t>
  </si>
  <si>
    <t>Домен, хостинг на 6 мес., тест рекламы, резерв (бизнес-план)</t>
  </si>
  <si>
    <t>Хостинг VPS, руб. в месяц</t>
  </si>
  <si>
    <t>Допущение проекта</t>
  </si>
  <si>
    <t>Реклама в мес. 1–3, руб. в месяц</t>
  </si>
  <si>
    <t>Параметры сценариев</t>
  </si>
  <si>
    <t>Доля активных (MAU / регистрации)</t>
  </si>
  <si>
    <t>Конверсия MAU → платящие</t>
  </si>
  <si>
    <t>Ключевая гипотеза. Проверять на альфа-тесте (ENQ-115, ENQ-116)</t>
  </si>
  <si>
    <t>Реклама с 4-го месяца, руб. в месяц</t>
  </si>
  <si>
    <t>Отток месячных подписчиков, % в месяц</t>
  </si>
  <si>
    <t>Используется только в расчёте LTV</t>
  </si>
  <si>
    <t>Отток годовых подписчиков, % в месяц (экв.)</t>
  </si>
  <si>
    <t>≈ 40% не продлевают за год, равномерно по месяцам</t>
  </si>
  <si>
    <t>Новые регистрации по месяцам</t>
  </si>
  <si>
    <t>Комментарий</t>
  </si>
  <si>
    <t>Месяц 1</t>
  </si>
  <si>
    <t>Первый месяц включает запуск и приглашения знакомых. Данные из docs/financial-model.md, разд. 3</t>
  </si>
  <si>
    <t>Месяц 2</t>
  </si>
  <si>
    <t>Месяц 3</t>
  </si>
  <si>
    <t>Месяц 4</t>
  </si>
  <si>
    <t>Месяц 5</t>
  </si>
  <si>
    <t>Месяц 6</t>
  </si>
  <si>
    <t>Месяц 7</t>
  </si>
  <si>
    <t>Месяц 8</t>
  </si>
  <si>
    <t>Месяц 9</t>
  </si>
  <si>
    <t>Месяц 10</t>
  </si>
  <si>
    <t>Месяц 11</t>
  </si>
  <si>
    <t>Месяц 12</t>
  </si>
  <si>
    <t>Итого за 12 месяцев</t>
  </si>
  <si>
    <t>Расходы, общие для сценариев</t>
  </si>
  <si>
    <t>SMS (SMS Aero), руб.</t>
  </si>
  <si>
    <t>API LLM, руб.</t>
  </si>
  <si>
    <t>SMS ≈ 2 руб./сообщение, растёт с регистрациями. LLM: бесплатный лимит в первые 3 месяца</t>
  </si>
  <si>
    <t>Помесячный план: Пессимистичный сценарий</t>
  </si>
  <si>
    <t>Все ячейки считаются формулами из листа «Допущения». Суммы в рублях.</t>
  </si>
  <si>
    <t>Мес. 1</t>
  </si>
  <si>
    <t>Мес. 2</t>
  </si>
  <si>
    <t>Мес. 3</t>
  </si>
  <si>
    <t>Мес. 4</t>
  </si>
  <si>
    <t>Мес. 5</t>
  </si>
  <si>
    <t>Мес. 6</t>
  </si>
  <si>
    <t>Мес. 7</t>
  </si>
  <si>
    <t>Мес. 8</t>
  </si>
  <si>
    <t>Мес. 9</t>
  </si>
  <si>
    <t>Мес. 10</t>
  </si>
  <si>
    <t>Мес. 11</t>
  </si>
  <si>
    <t>Мес. 12</t>
  </si>
  <si>
    <t>Итого / конец</t>
  </si>
  <si>
    <t>Новые регистрации</t>
  </si>
  <si>
    <t>Всего регистраций</t>
  </si>
  <si>
    <t>MAU (активные)</t>
  </si>
  <si>
    <t>Платящие пользователи</t>
  </si>
  <si>
    <t>Выручка</t>
  </si>
  <si>
    <t>Расходы</t>
  </si>
  <si>
    <t>Хостинг</t>
  </si>
  <si>
    <t>Реклама</t>
  </si>
  <si>
    <t>SMS-верификация</t>
  </si>
  <si>
    <t>API LLM</t>
  </si>
  <si>
    <t>Комиссия ЮKassa</t>
  </si>
  <si>
    <t>Итого расходы</t>
  </si>
  <si>
    <t>Операционная прибыль</t>
  </si>
  <si>
    <t>Первоначальные инвестиции</t>
  </si>
  <si>
    <t>Чистый денежный поток</t>
  </si>
  <si>
    <t>Накопленный денежный поток</t>
  </si>
  <si>
    <t>Флаг: операционная прибыль ≥ 0</t>
  </si>
  <si>
    <t>Флаг: накопленный поток ≥ 0</t>
  </si>
  <si>
    <t>Помесячный план: Базовый сценарий</t>
  </si>
  <si>
    <t>Помесячный план: Оптимистичный сценарий</t>
  </si>
  <si>
    <t>Маржинальность, точка безубыточности, юнит-экономика</t>
  </si>
  <si>
    <t>Считается по трём сценариям из листов «План_…». Суммы в рублях.</t>
  </si>
  <si>
    <t>Как считается</t>
  </si>
  <si>
    <t>1. Маржинальность на одного платящего</t>
  </si>
  <si>
    <t>ARPU, руб. в месяц</t>
  </si>
  <si>
    <t>Средний доход с платящего пользователя</t>
  </si>
  <si>
    <t>Переменные расходы на платящего, руб.</t>
  </si>
  <si>
    <t>Комиссия ЮKassa; остальное считается постоянным</t>
  </si>
  <si>
    <t>Маржа на платящего (вклад), руб.</t>
  </si>
  <si>
    <t>ARPU минус переменные расходы</t>
  </si>
  <si>
    <t>Маржа / ARPU</t>
  </si>
  <si>
    <t>2. Точка безубыточности (в месяц)</t>
  </si>
  <si>
    <t>Постоянные расходы, мес. 1–3, руб./мес</t>
  </si>
  <si>
    <t>Хостинг + реклама + SMS + LLM, среднее за мес. 1–3</t>
  </si>
  <si>
    <t>Постоянные расходы, мес. 4–12, руб./мес</t>
  </si>
  <si>
    <t>То же, среднее за мес. 4–12</t>
  </si>
  <si>
    <t>Безубыточность, мес. 1–3, платящих</t>
  </si>
  <si>
    <t>Постоянные расходы / маржа на платящего</t>
  </si>
  <si>
    <t>Безубыточность, мес. 4–12, платящих</t>
  </si>
  <si>
    <t>Безубыточность, мес. 4–12, выручка руб./мес</t>
  </si>
  <si>
    <t>Постоянные расходы / маржинальность</t>
  </si>
  <si>
    <t>Платящих в конце 12-го месяца</t>
  </si>
  <si>
    <t>Из плана сценария</t>
  </si>
  <si>
    <t>Запас прочности, %</t>
  </si>
  <si>
    <t>На сколько можно потерять платящих до убытка (&lt;0 = уже убыток)</t>
  </si>
  <si>
    <t>Нужная конверсия MAU / платящие, %</t>
  </si>
  <si>
    <t>Безубыточное число платящих / MAU на конец года</t>
  </si>
  <si>
    <t>Первый месяц с операционной прибылью</t>
  </si>
  <si>
    <t>Первый месяц, где выручка ≥ расходов</t>
  </si>
  <si>
    <t>Месяц окупаемости (с инвестициями)</t>
  </si>
  <si>
    <t>Первый месяц, где накопленный поток ≥ 0</t>
  </si>
  <si>
    <t>3. Итоги года и юнит-экономика</t>
  </si>
  <si>
    <t>Выручка за 12 мес., руб.</t>
  </si>
  <si>
    <t>Сумма по плану</t>
  </si>
  <si>
    <t>Расходы за 12 мес., руб.</t>
  </si>
  <si>
    <t>Выручка минус расходы</t>
  </si>
  <si>
    <t>Прибыль / выручка</t>
  </si>
  <si>
    <t>CAC: реклама / платящие на конец года, руб.</t>
  </si>
  <si>
    <t>Стоимость привлечения одного платящего (упрощённо)</t>
  </si>
  <si>
    <t>Время жизни годового подписчика, мес.</t>
  </si>
  <si>
    <t>1 / отток</t>
  </si>
  <si>
    <t>Время жизни месячного подписчика, мес.</t>
  </si>
  <si>
    <t>LTV (после комиссии), руб.</t>
  </si>
  <si>
    <t>Доход за время жизни по каждому типу подписки, минус комиссия</t>
  </si>
  <si>
    <t>Ориентир: больше 3 - хорошо</t>
  </si>
  <si>
    <t>Окупаемость CAC, мес.</t>
  </si>
  <si>
    <t>CAC / маржа на платящего в месяц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</si>
</sst>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#,##0;(#,##0);-" formatCode="#,##0;(#,##0);-" numFmtId="1001"/>
    <numFmt co:extendedFormatCode="0%;-0%;-" formatCode="0%;-0%;-" numFmtId="1002"/>
    <numFmt co:extendedFormatCode="0.0%" formatCode="0.0%" numFmtId="1003"/>
    <numFmt co:extendedFormatCode="0" formatCode="0" numFmtId="1004"/>
    <numFmt co:extendedFormatCode="0.0\x" formatCode="0.0\x" numFmtId="1005"/>
    <numFmt co:extendedFormatCode="#,##0.0;(#,##0.0);-" formatCode="#,##0.0;(#,##0.0);-" numFmtId="1006"/>
  </numFmts>
  <fonts count="9">
    <font>
      <name val="Calibri"/>
      <color theme="1" tint="0"/>
      <sz val="11"/>
    </font>
    <font>
      <color theme="1" tint="0"/>
      <sz val="11"/>
      <scheme val="minor"/>
    </font>
    <font>
      <name val="Arial"/>
      <b val="true"/>
      <sz val="14"/>
    </font>
    <font>
      <name val="Arial"/>
      <sz val="10"/>
    </font>
    <font>
      <name val="Arial"/>
      <b val="true"/>
      <color rgb="FFFFFF" tint="0"/>
      <sz val="10"/>
    </font>
    <font>
      <name val="Arial"/>
      <color rgb="008000" tint="0"/>
      <sz val="10"/>
    </font>
    <font>
      <name val="Arial"/>
      <b val="true"/>
      <sz val="10"/>
    </font>
    <font>
      <name val="Arial"/>
      <b val="true"/>
      <color rgb="008000" tint="0"/>
      <sz val="10"/>
    </font>
    <font>
      <name val="Arial"/>
      <color rgb="0000FF" tint="0"/>
      <sz val="10"/>
    </font>
  </fonts>
  <fills count="5">
    <fill>
      <patternFill patternType="none"/>
    </fill>
    <fill>
      <patternFill patternType="gray125"/>
    </fill>
    <fill>
      <patternFill patternType="solid">
        <fgColor rgb="1F3864" tint="0"/>
      </patternFill>
    </fill>
    <fill>
      <patternFill patternType="solid">
        <fgColor rgb="D9E1F2" tint="0"/>
      </patternFill>
    </fill>
    <fill>
      <patternFill patternType="solid">
        <fgColor rgb="FFFF00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applyNumberFormat="true" borderId="0" fillId="0" fontId="1" numFmtId="1000" quotePrefix="false"/>
  </cellStyleXfs>
  <cellXfs count="25">
    <xf applyFont="true" applyNumberFormat="true" borderId="0" fillId="0" fontId="1" numFmtId="1000" quotePrefix="false"/>
    <xf applyFont="true" applyNumberFormat="true" borderId="0" fillId="0" fontId="2" numFmtId="1000" quotePrefix="false"/>
    <xf applyFont="true" applyNumberFormat="true" borderId="0" fillId="0" fontId="3" numFmtId="1000" quotePrefix="false"/>
    <xf applyAlignment="true" applyFill="true" applyFont="true" applyNumberFormat="true" borderId="0" fillId="2" fontId="4" numFmtId="1000" quotePrefix="false">
      <alignment horizontal="center" vertical="center" wrapText="true"/>
    </xf>
    <xf applyFont="true" applyNumberFormat="true" borderId="0" fillId="0" fontId="5" numFmtId="1001" quotePrefix="false"/>
    <xf applyFont="true" applyNumberFormat="true" borderId="0" fillId="0" fontId="6" numFmtId="1000" quotePrefix="false"/>
    <xf applyFont="true" applyNumberFormat="true" borderId="0" fillId="0" fontId="7" numFmtId="1001" quotePrefix="false"/>
    <xf applyFont="true" applyNumberFormat="true" borderId="0" fillId="0" fontId="3" numFmtId="1002" quotePrefix="false"/>
    <xf applyFont="true" applyNumberFormat="true" borderId="0" fillId="0" fontId="5" numFmtId="1003" quotePrefix="false"/>
    <xf applyFont="true" applyNumberFormat="true" borderId="0" fillId="0" fontId="5" numFmtId="1004" quotePrefix="false"/>
    <xf applyFont="true" applyNumberFormat="true" borderId="0" fillId="0" fontId="5" numFmtId="1005" quotePrefix="false"/>
    <xf applyFill="true" applyFont="true" applyNumberFormat="true" borderId="0" fillId="3" fontId="6" numFmtId="1000" quotePrefix="false"/>
    <xf applyFont="true" applyNumberFormat="true" borderId="0" fillId="0" fontId="3" numFmtId="1004" quotePrefix="false"/>
    <xf applyFont="true" applyNumberFormat="true" borderId="0" fillId="0" fontId="3" numFmtId="1000" quotePrefix="false"/>
    <xf applyFont="true" applyNumberFormat="true" borderId="0" fillId="0" fontId="8" numFmtId="1001" quotePrefix="false"/>
    <xf applyFill="true" applyFont="true" applyNumberFormat="true" borderId="0" fillId="4" fontId="8" numFmtId="1003" quotePrefix="false"/>
    <xf applyFont="true" applyNumberFormat="true" borderId="0" fillId="0" fontId="3" numFmtId="1006" quotePrefix="false"/>
    <xf applyFont="true" applyNumberFormat="true" borderId="0" fillId="0" fontId="8" numFmtId="1003" quotePrefix="false"/>
    <xf applyFont="true" applyNumberFormat="true" borderId="0" fillId="0" fontId="6" numFmtId="1001" quotePrefix="false"/>
    <xf applyFont="true" applyNumberFormat="true" borderId="0" fillId="0" fontId="3" numFmtId="1001" quotePrefix="false"/>
    <xf applyFont="true" applyNumberFormat="true" borderId="0" fillId="0" fontId="6" numFmtId="1006" quotePrefix="false"/>
    <xf applyFont="true" applyNumberFormat="true" borderId="0" fillId="0" fontId="6" numFmtId="1003" quotePrefix="false"/>
    <xf applyFill="true" applyFont="true" applyNumberFormat="true" borderId="0" fillId="4" fontId="6" numFmtId="1001" quotePrefix="false"/>
    <xf applyFont="true" applyNumberFormat="true" borderId="0" fillId="0" fontId="3" numFmtId="1003" quotePrefix="false"/>
    <xf applyFill="true" applyFont="true" applyNumberFormat="true" borderId="0" fillId="4" fontId="6" numFmtId="1005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worksheets/sheet6.xml" Type="http://schemas.openxmlformats.org/officeDocument/2006/relationships/worksheet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styles.xml" Type="http://schemas.openxmlformats.org/officeDocument/2006/relationships/styles"/>
  <Relationship Id="rId4" Target="worksheets/sheet4.xml" Type="http://schemas.openxmlformats.org/officeDocument/2006/relationships/worksheet"/>
  <Relationship Id="rId9" Target="theme/theme1.xml" Type="http://schemas.openxmlformats.org/officeDocument/2006/relationships/theme"/>
  <Relationship Id="rId7" Target="sharedStrings.xml" Type="http://schemas.openxmlformats.org/officeDocument/2006/relationships/sharedString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Накопленный денежный поток, руб.</a:t>
            </a:r>
          </a:p>
        </c:rich>
      </c:tx>
    </c:title>
    <c:autoTitleDeleted val="false"/>
    <c:plotArea>
      <c:lineChart>
        <c:grouping val="standard"/>
        <c:ser>
          <c:idx val="0"/>
          <c:order val="0"/>
          <c:tx>
            <c:strRef>
              <c:f>'Сводка'!B19</c:f>
            </c:strRef>
          </c:tx>
          <c:spPr>
            <a:ln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cat>
            <c:strRef>
              <c:f>'Сводка'!$A$20:$A$31</c:f>
            </c:strRef>
          </c:cat>
          <c:val>
            <c:numRef>
              <c:f>'Сводка'!$B$20:$B$31</c:f>
            </c:numRef>
          </c:val>
        </c:ser>
        <c:ser>
          <c:idx val="1"/>
          <c:order val="1"/>
          <c:tx>
            <c:strRef>
              <c:f>'Сводка'!C19</c:f>
            </c:strRef>
          </c:tx>
          <c:spPr>
            <a:ln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cat>
            <c:strRef>
              <c:f>'Сводка'!$A$20:$A$31</c:f>
            </c:strRef>
          </c:cat>
          <c:val>
            <c:numRef>
              <c:f>'Сводка'!$C$20:$C$31</c:f>
            </c:numRef>
          </c:val>
        </c:ser>
        <c:ser>
          <c:idx val="2"/>
          <c:order val="2"/>
          <c:tx>
            <c:strRef>
              <c:f>'Сводка'!D19</c:f>
            </c:strRef>
          </c:tx>
          <c:spPr>
            <a:ln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cat>
            <c:strRef>
              <c:f>'Сводка'!$A$20:$A$31</c:f>
            </c:strRef>
          </c:cat>
          <c:val>
            <c:numRef>
              <c:f>'Сводка'!$D$20:$D$31</c:f>
            </c:numRef>
          </c:val>
        </c:ser>
        <c:marker val="tru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/>
        <c:title>
          <c:tx>
            <c:rich>
              <a:bodyPr/>
              <a:lstStyle>
                <a:defPPr/>
                <a:lvl1pPr lvl="0"/>
                <a:lvl2pPr lvl="1"/>
                <a:lvl3pPr lvl="2"/>
                <a:lvl4pPr lvl="3"/>
                <a:lvl5pPr lvl="4"/>
                <a:lvl6pPr lvl="5"/>
                <a:lvl7pPr lvl="6"/>
                <a:lvl8pPr lvl="7"/>
                <a:lvl9pPr lvl="8"/>
              </a:lstStyle>
              <a:p>
                <a:r>
                  <a:t>руб.</a:t>
                </a:r>
              </a:p>
            </c:rich>
          </c:tx>
        </c:title>
        <c:majorTickMark val="none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l"/>
        <c:title>
          <c:tx>
            <c:rich>
              <a:bodyPr/>
              <a:lstStyle>
                <a:defPPr/>
                <a:lvl1pPr lvl="0"/>
                <a:lvl2pPr lvl="1"/>
                <a:lvl3pPr lvl="2"/>
                <a:lvl4pPr lvl="3"/>
                <a:lvl5pPr lvl="4"/>
                <a:lvl6pPr lvl="5"/>
                <a:lvl7pPr lvl="6"/>
                <a:lvl8pPr lvl="7"/>
                <a:lvl9pPr lvl="8"/>
              </a:lstStyle>
              <a:p>
                <a:r>
                  <a:t>Месяц</a:t>
                </a:r>
              </a:p>
            </c:rich>
          </c:tx>
        </c:title>
        <c:majorTickMark val="none"/>
        <c:minorTickMark val="none"/>
        <c:tickLblPos val="nextTo"/>
        <c:crossAx val="2"/>
      </c:catAx>
      <c:spPr>
        <a:noFill/>
      </c:spPr>
    </c:plotArea>
    <c:legend>
      <c:legendPos val="r"/>
    </c:legend>
    <c:dispBlanksAs val="zero"/>
  </c:chart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7312885" y="381000"/>
    <xdr:ext cx="6120000" cy="3060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1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31"/>
  <sheetViews>
    <sheetView showZeros="true" workbookViewId="0"/>
  </sheetViews>
  <sheetFormatPr baseColWidth="8" customHeight="false" defaultColWidth="9.14062530925693" defaultRowHeight="15" zeroHeight="false"/>
  <cols>
    <col customWidth="true" max="1" min="1" outlineLevel="0" width="42.0000003383324"/>
    <col customWidth="true" max="4" min="2" outlineLevel="0" width="16.9999994925015"/>
  </cols>
  <sheetData>
    <row outlineLevel="0" r="1">
      <c r="A1" s="1" t="s">
        <v>0</v>
      </c>
    </row>
    <row outlineLevel="0" r="2">
      <c r="A2" s="2" t="s">
        <v>1</v>
      </c>
    </row>
    <row outlineLevel="0" r="3">
      <c r="A3" s="3" t="s">
        <v>2</v>
      </c>
      <c r="B3" s="3" t="s">
        <v>3</v>
      </c>
      <c r="C3" s="3" t="s">
        <v>4</v>
      </c>
      <c r="D3" s="3" t="s">
        <v>5</v>
      </c>
    </row>
    <row outlineLevel="0" r="4">
      <c r="A4" s="2" t="s">
        <v>6</v>
      </c>
      <c r="B4" s="4" t="n">
        <f aca="false" ca="false" dt2D="false" dtr="false" t="normal">'План_Пессимистичный'!N4</f>
        <v>1120</v>
      </c>
      <c r="C4" s="4" t="n">
        <f aca="false" ca="false" dt2D="false" dtr="false" t="normal">'План_Базовый'!N4</f>
        <v>2200</v>
      </c>
      <c r="D4" s="4" t="n">
        <f aca="false" ca="false" dt2D="false" dtr="false" t="normal">'План_Оптимистичный'!N4</f>
        <v>3690</v>
      </c>
    </row>
    <row outlineLevel="0" r="5">
      <c r="A5" s="2" t="s">
        <v>7</v>
      </c>
      <c r="B5" s="4" t="n">
        <f aca="false" ca="false" dt2D="false" dtr="false" t="normal">'План_Пессимистичный'!M7</f>
        <v>27</v>
      </c>
      <c r="C5" s="4" t="n">
        <f aca="false" ca="false" dt2D="false" dtr="false" t="normal">'План_Базовый'!M7</f>
        <v>132</v>
      </c>
      <c r="D5" s="4" t="n">
        <f aca="false" ca="false" dt2D="false" dtr="false" t="normal">'План_Оптимистичный'!M7</f>
        <v>405.99999999999994</v>
      </c>
    </row>
    <row outlineLevel="0" r="6">
      <c r="A6" s="2" t="s">
        <v>8</v>
      </c>
      <c r="B6" s="4" t="n">
        <f aca="false" ca="false" dt2D="false" dtr="false" t="normal">'План_Пессимистичный'!N8</f>
        <v>13454.883333333333</v>
      </c>
      <c r="C6" s="4" t="n">
        <f aca="false" ca="false" dt2D="false" dtr="false" t="normal">'План_Базовый'!N8</f>
        <v>62811.65833333334</v>
      </c>
      <c r="D6" s="4" t="n">
        <f aca="false" ca="false" dt2D="false" dtr="false" t="normal">'План_Оптимистичный'!N8</f>
        <v>182307.00833333336</v>
      </c>
    </row>
    <row outlineLevel="0" r="7">
      <c r="A7" s="2" t="s">
        <v>9</v>
      </c>
      <c r="B7" s="4" t="n">
        <f aca="false" ca="false" dt2D="false" dtr="false" t="normal">'План_Пессимистичный'!N15</f>
        <v>35526.73673333334</v>
      </c>
      <c r="C7" s="4" t="n">
        <f aca="false" ca="false" dt2D="false" dtr="false" t="normal">'План_Базовый'!N15</f>
        <v>45908.72643333332</v>
      </c>
      <c r="D7" s="4" t="n">
        <f aca="false" ca="false" dt2D="false" dtr="false" t="normal">'План_Оптимистичный'!N15</f>
        <v>67254.59623333334</v>
      </c>
    </row>
    <row outlineLevel="0" r="8">
      <c r="A8" s="5" t="s">
        <v>10</v>
      </c>
      <c r="B8" s="6" t="n">
        <f aca="false" ca="false" dt2D="false" dtr="false" t="normal">'План_Пессимистичный'!N16</f>
        <v>-22071.8534</v>
      </c>
      <c r="C8" s="6" t="n">
        <f aca="false" ca="false" dt2D="false" dtr="false" t="normal">'План_Базовый'!N16</f>
        <v>16902.9319</v>
      </c>
      <c r="D8" s="6" t="n">
        <f aca="false" ca="false" dt2D="false" dtr="false" t="normal">'План_Оптимистичный'!N16</f>
        <v>115052.41209999999</v>
      </c>
    </row>
    <row outlineLevel="0" r="9">
      <c r="A9" s="2" t="s">
        <v>11</v>
      </c>
      <c r="B9" s="4" t="n">
        <f aca="false" ca="false" dt2D="false" dtr="false" t="normal">'План_Пессимистичный'!N17</f>
        <v>12000</v>
      </c>
      <c r="C9" s="4" t="n">
        <f aca="false" ca="false" dt2D="false" dtr="false" t="normal">'План_Базовый'!N17</f>
        <v>12000</v>
      </c>
      <c r="D9" s="4" t="n">
        <f aca="false" ca="false" dt2D="false" dtr="false" t="normal">'План_Оптимистичный'!N17</f>
        <v>12000</v>
      </c>
    </row>
    <row outlineLevel="0" r="10">
      <c r="A10" s="5" t="s">
        <v>12</v>
      </c>
      <c r="B10" s="6" t="n">
        <f aca="false" ca="false" dt2D="false" dtr="false" t="normal">'План_Пессимистичный'!N18</f>
        <v>-34071.8534</v>
      </c>
      <c r="C10" s="6" t="n">
        <f aca="false" ca="false" dt2D="false" dtr="false" t="normal">'План_Базовый'!N18</f>
        <v>4902.9319</v>
      </c>
      <c r="D10" s="6" t="n">
        <f aca="false" ca="false" dt2D="false" dtr="false" t="normal">'План_Оптимистичный'!N18</f>
        <v>103052.41209999999</v>
      </c>
    </row>
    <row outlineLevel="0" r="11">
      <c r="A11" s="2" t="s">
        <v>13</v>
      </c>
      <c r="B11" s="7" t="n">
        <f aca="false" ca="false" dt2D="false" dtr="false" t="normal">IF(B9=0, 0, B10/B9)</f>
        <v>-2.8393211166666665</v>
      </c>
      <c r="C11" s="7" t="n">
        <f aca="false" ca="false" dt2D="false" dtr="false" t="normal">IF(C9=0, 0, C10/C9)</f>
        <v>0.4085776583333333</v>
      </c>
      <c r="D11" s="7" t="n">
        <f aca="false" ca="false" dt2D="false" dtr="false" t="normal">IF(D9=0, 0, D10/D9)</f>
        <v>8.587701008333331</v>
      </c>
    </row>
    <row outlineLevel="0" r="12">
      <c r="A12" s="2" t="s">
        <v>14</v>
      </c>
      <c r="B12" s="8" t="n">
        <f aca="false" ca="false" dt2D="false" dtr="false" t="normal">'Маржа и безубыточность'!B8</f>
        <v>0.9720000000000001</v>
      </c>
      <c r="C12" s="8" t="n">
        <f aca="false" ca="false" dt2D="false" dtr="false" t="normal">'Маржа и безубыточность'!C8</f>
        <v>0.9720000000000001</v>
      </c>
      <c r="D12" s="8" t="n">
        <f aca="false" ca="false" dt2D="false" dtr="false" t="normal">'Маржа и безубыточность'!D8</f>
        <v>0.9720000000000001</v>
      </c>
    </row>
    <row outlineLevel="0" r="13">
      <c r="A13" s="2" t="s">
        <v>15</v>
      </c>
      <c r="B13" s="8" t="n">
        <f aca="false" ca="false" dt2D="false" dtr="false" t="normal">'Маржа и безубыточность'!B26</f>
        <v>-1.6404343949470643</v>
      </c>
      <c r="C13" s="8" t="n">
        <f aca="false" ca="false" dt2D="false" dtr="false" t="normal">'Маржа и безубыточность'!C26</f>
        <v>0.26910500930095405</v>
      </c>
      <c r="D13" s="8" t="n">
        <f aca="false" ca="false" dt2D="false" dtr="false" t="normal">'Маржа и безубыточность'!D26</f>
        <v>0.6310915479981776</v>
      </c>
    </row>
    <row outlineLevel="0" r="14">
      <c r="A14" s="2" t="s">
        <v>16</v>
      </c>
      <c r="B14" s="4" t="n">
        <f aca="false" ca="false" dt2D="false" dtr="false" t="normal">'Маржа и безубыточность'!B14</f>
        <v>47</v>
      </c>
      <c r="C14" s="4" t="n">
        <f aca="false" ca="false" dt2D="false" dtr="false" t="normal">'Маржа и безубыточность'!C14</f>
        <v>63</v>
      </c>
      <c r="D14" s="4" t="n">
        <f aca="false" ca="false" dt2D="false" dtr="false" t="normal">'Маржа и безубыточность'!D14</f>
        <v>94</v>
      </c>
    </row>
    <row outlineLevel="0" r="15">
      <c r="A15" s="2" t="s">
        <v>17</v>
      </c>
      <c r="B15" s="9" t="str">
        <f aca="false" ca="false" dt2D="false" dtr="false" t="normal">'Маржа и безубыточность'!B20</f>
        <v>не за 12 мес.</v>
      </c>
      <c r="C15" s="9" t="n">
        <f aca="false" ca="false" dt2D="false" dtr="false" t="normal">'Маржа и безубыточность'!C20</f>
        <v>11</v>
      </c>
      <c r="D15" s="9" t="n">
        <f aca="false" ca="false" dt2D="false" dtr="false" t="normal">'Маржа и безубыточность'!D20</f>
        <v>4</v>
      </c>
    </row>
    <row outlineLevel="0" r="16">
      <c r="A16" s="2" t="s">
        <v>18</v>
      </c>
      <c r="B16" s="10" t="n">
        <f aca="false" ca="false" dt2D="false" dtr="false" t="normal">'Маржа и безубыточность'!B31</f>
        <v>1.1262594375</v>
      </c>
      <c r="C16" s="10" t="n">
        <f aca="false" ca="false" dt2D="false" dtr="false" t="normal">'Маржа и безубыточность'!C31</f>
        <v>4.453542</v>
      </c>
      <c r="D16" s="10" t="n">
        <f aca="false" ca="false" dt2D="false" dtr="false" t="normal">'Маржа и безубыточность'!D31</f>
        <v>10.012497352941175</v>
      </c>
    </row>
    <row outlineLevel="0" r="18">
      <c r="A18" s="11" t="s">
        <v>19</v>
      </c>
    </row>
    <row outlineLevel="0" r="19">
      <c r="A19" s="3" t="s">
        <v>20</v>
      </c>
      <c r="B19" s="3" t="s">
        <v>3</v>
      </c>
      <c r="C19" s="3" t="s">
        <v>4</v>
      </c>
      <c r="D19" s="3" t="s">
        <v>5</v>
      </c>
    </row>
    <row outlineLevel="0" r="20">
      <c r="A20" s="12" t="n">
        <v>1</v>
      </c>
      <c r="B20" s="4" t="n">
        <f aca="false" ca="false" dt2D="false" dtr="false" t="normal">'План_Пессимистичный'!B19</f>
        <v>-14146.796900000001</v>
      </c>
      <c r="C20" s="4" t="n">
        <f aca="false" ca="false" dt2D="false" dtr="false" t="normal">'План_Базовый'!B19</f>
        <v>-12657.701000000001</v>
      </c>
      <c r="D20" s="4" t="n">
        <f aca="false" ca="false" dt2D="false" dtr="false" t="normal">'План_Оптимистичный'!B19</f>
        <v>-9614.765899999999</v>
      </c>
    </row>
    <row outlineLevel="0" r="21">
      <c r="A21" s="12" t="n">
        <v>2</v>
      </c>
      <c r="B21" s="4" t="n">
        <f aca="false" ca="false" dt2D="false" dtr="false" t="normal">'План_Пессимистичный'!C19</f>
        <v>-16164.107200000002</v>
      </c>
      <c r="C21" s="4" t="n">
        <f aca="false" ca="false" dt2D="false" dtr="false" t="normal">'План_Базовый'!C19</f>
        <v>-12797.455600000001</v>
      </c>
      <c r="D21" s="4" t="n">
        <f aca="false" ca="false" dt2D="false" dtr="false" t="normal">'План_Оптимистичный'!C19</f>
        <v>-5805.179199999999</v>
      </c>
    </row>
    <row outlineLevel="0" r="22">
      <c r="A22" s="12" t="n">
        <v>3</v>
      </c>
      <c r="B22" s="4" t="n">
        <f aca="false" ca="false" dt2D="false" dtr="false" t="normal">'План_Пессимистичный'!D19</f>
        <v>-18051.930900000003</v>
      </c>
      <c r="C22" s="4" t="n">
        <f aca="false" ca="false" dt2D="false" dtr="false" t="normal">'План_Базовый'!D19</f>
        <v>-12419.2638</v>
      </c>
      <c r="D22" s="4" t="n">
        <f aca="false" ca="false" dt2D="false" dtr="false" t="normal">'План_Оптимистичный'!D19</f>
        <v>-571.2398999999987</v>
      </c>
    </row>
    <row outlineLevel="0" r="23">
      <c r="A23" s="12" t="n">
        <v>4</v>
      </c>
      <c r="B23" s="4" t="n">
        <f aca="false" ca="false" dt2D="false" dtr="false" t="normal">'План_Пессимистичный'!E19</f>
        <v>-20175.011300000002</v>
      </c>
      <c r="C23" s="4" t="n">
        <f aca="false" ca="false" dt2D="false" dtr="false" t="normal">'План_Базовый'!E19</f>
        <v>-12758.382300000001</v>
      </c>
      <c r="D23" s="4" t="n">
        <f aca="false" ca="false" dt2D="false" dtr="false" t="normal">'План_Оптимистичный'!E19</f>
        <v>3175.511800000001</v>
      </c>
    </row>
    <row outlineLevel="0" r="24">
      <c r="A24" s="12" t="n">
        <v>5</v>
      </c>
      <c r="B24" s="4" t="n">
        <f aca="false" ca="false" dt2D="false" dtr="false" t="normal">'План_Пессимистичный'!F19</f>
        <v>-22268.6051</v>
      </c>
      <c r="C24" s="4" t="n">
        <f aca="false" ca="false" dt2D="false" dtr="false" t="normal">'План_Базовый'!F19</f>
        <v>-12614.8111</v>
      </c>
      <c r="D24" s="4" t="n">
        <f aca="false" ca="false" dt2D="false" dtr="false" t="normal">'План_Оптимистичный'!F19</f>
        <v>8764.5625</v>
      </c>
    </row>
    <row outlineLevel="0" r="25">
      <c r="A25" s="12" t="n">
        <v>6</v>
      </c>
      <c r="B25" s="4" t="n">
        <f aca="false" ca="false" dt2D="false" dtr="false" t="normal">'План_Пессимистичный'!G19</f>
        <v>-24232.7123</v>
      </c>
      <c r="C25" s="4" t="n">
        <f aca="false" ca="false" dt2D="false" dtr="false" t="normal">'План_Базовый'!G19</f>
        <v>-11823.806900000001</v>
      </c>
      <c r="D25" s="4" t="n">
        <f aca="false" ca="false" dt2D="false" dtr="false" t="normal">'План_Оптимистичный'!G19</f>
        <v>16360.6555</v>
      </c>
    </row>
    <row outlineLevel="0" r="26">
      <c r="A26" s="12" t="n">
        <v>7</v>
      </c>
      <c r="B26" s="4" t="n">
        <f aca="false" ca="false" dt2D="false" dtr="false" t="normal">'План_Пессимистичный'!H19</f>
        <v>-26067.332899999998</v>
      </c>
      <c r="C26" s="4" t="n">
        <f aca="false" ca="false" dt2D="false" dtr="false" t="normal">'План_Базовый'!H19</f>
        <v>-10514.856300000001</v>
      </c>
      <c r="D26" s="4" t="n">
        <f aca="false" ca="false" dt2D="false" dtr="false" t="normal">'План_Оптимистичный'!H19</f>
        <v>25575.331000000002</v>
      </c>
    </row>
    <row outlineLevel="0" r="27">
      <c r="A27" s="12" t="n">
        <v>8</v>
      </c>
      <c r="B27" s="4" t="n">
        <f aca="false" ca="false" dt2D="false" dtr="false" t="normal">'План_Пессимистичный'!I19</f>
        <v>-27887.210199999998</v>
      </c>
      <c r="C27" s="4" t="n">
        <f aca="false" ca="false" dt2D="false" dtr="false" t="normal">'План_Базовый'!I19</f>
        <v>-8673.216</v>
      </c>
      <c r="D27" s="4" t="n">
        <f aca="false" ca="false" dt2D="false" dtr="false" t="normal">'План_Оптимистичный'!I19</f>
        <v>36747.048800000004</v>
      </c>
    </row>
    <row outlineLevel="0" r="28">
      <c r="A28" s="12" t="n">
        <v>9</v>
      </c>
      <c r="B28" s="4" t="n">
        <f aca="false" ca="false" dt2D="false" dtr="false" t="normal">'План_Пессимистичный'!J19</f>
        <v>-29577.600899999998</v>
      </c>
      <c r="C28" s="4" t="n">
        <f aca="false" ca="false" dt2D="false" dtr="false" t="normal">'План_Базовый'!J19</f>
        <v>-6248.886</v>
      </c>
      <c r="D28" s="4" t="n">
        <f aca="false" ca="false" dt2D="false" dtr="false" t="normal">'План_Оптимистичный'!J19</f>
        <v>49925.8089</v>
      </c>
    </row>
    <row outlineLevel="0" r="29">
      <c r="A29" s="12" t="n">
        <v>10</v>
      </c>
      <c r="B29" s="4" t="n">
        <f aca="false" ca="false" dt2D="false" dtr="false" t="normal">'План_Пессимистичный'!K19</f>
        <v>-31188.504999999997</v>
      </c>
      <c r="C29" s="4" t="n">
        <f aca="false" ca="false" dt2D="false" dtr="false" t="normal">'План_Базовый'!K19</f>
        <v>-3227.1229999999996</v>
      </c>
      <c r="D29" s="4" t="n">
        <f aca="false" ca="false" dt2D="false" dtr="false" t="normal">'План_Оптимистичный'!K19</f>
        <v>65255.8412</v>
      </c>
    </row>
    <row outlineLevel="0" r="30">
      <c r="A30" s="12" t="n">
        <v>11</v>
      </c>
      <c r="B30" s="4" t="n">
        <f aca="false" ca="false" dt2D="false" dtr="false" t="normal">'План_Пессимистичный'!L19</f>
        <v>-32669.922499999997</v>
      </c>
      <c r="C30" s="4" t="n">
        <f aca="false" ca="false" dt2D="false" dtr="false" t="normal">'План_Базовый'!L19</f>
        <v>506.8163000000004</v>
      </c>
      <c r="D30" s="4" t="n">
        <f aca="false" ca="false" dt2D="false" dtr="false" t="normal">'План_Оптимистичный'!L19</f>
        <v>82916.6323</v>
      </c>
    </row>
    <row outlineLevel="0" r="31">
      <c r="A31" s="12" t="n">
        <v>12</v>
      </c>
      <c r="B31" s="4" t="n">
        <f aca="false" ca="false" dt2D="false" dtr="false" t="normal">'План_Пессимистичный'!M19</f>
        <v>-34071.8534</v>
      </c>
      <c r="C31" s="4" t="n">
        <f aca="false" ca="false" dt2D="false" dtr="false" t="normal">'План_Базовый'!M19</f>
        <v>4902.9319</v>
      </c>
      <c r="D31" s="4" t="n">
        <f aca="false" ca="false" dt2D="false" dtr="false" t="normal">'План_Оптимистичный'!M19</f>
        <v>103052.41209999999</v>
      </c>
    </row>
  </sheetData>
  <pageMargins bottom="1" footer="0.5" header="0.5" left="0.75" right="0.75" top="1"/>
  <drawing r:id="rId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E47"/>
  <sheetViews>
    <sheetView showZeros="true" workbookViewId="0">
      <pane activePane="bottomRight" state="frozen" topLeftCell="B4" xSplit="1" ySplit="3"/>
    </sheetView>
  </sheetViews>
  <sheetFormatPr baseColWidth="8" customHeight="false" defaultColWidth="9.14062530925693" defaultRowHeight="15" zeroHeight="false"/>
  <cols>
    <col customWidth="true" max="1" min="1" outlineLevel="0" width="43.9999993233353"/>
    <col customWidth="true" max="4" min="2" outlineLevel="0" width="16.9999994925015"/>
    <col customWidth="true" max="5" min="5" outlineLevel="0" width="80.0000027066589"/>
  </cols>
  <sheetData>
    <row outlineLevel="0" r="1">
      <c r="A1" s="1" t="s">
        <v>21</v>
      </c>
    </row>
    <row outlineLevel="0" r="2">
      <c r="A2" s="13" t="s">
        <v>22</v>
      </c>
      <c r="B2" s="0" t="s">
        <v>23</v>
      </c>
    </row>
    <row outlineLevel="0" r="3">
      <c r="A3" s="3" t="s">
        <v>24</v>
      </c>
      <c r="B3" s="3" t="s">
        <v>25</v>
      </c>
      <c r="C3" s="3" t="n"/>
      <c r="D3" s="3" t="n"/>
      <c r="E3" s="3" t="s">
        <v>26</v>
      </c>
    </row>
    <row outlineLevel="0" r="4">
      <c r="A4" s="2" t="s">
        <v>27</v>
      </c>
      <c r="B4" s="14" t="n">
        <v>590</v>
      </c>
      <c r="E4" s="2" t="s">
        <v>28</v>
      </c>
    </row>
    <row outlineLevel="0" r="5">
      <c r="A5" s="2" t="s">
        <v>29</v>
      </c>
      <c r="B5" s="14" t="n">
        <v>99</v>
      </c>
      <c r="E5" s="2" t="s">
        <v>30</v>
      </c>
    </row>
    <row outlineLevel="0" r="6">
      <c r="A6" s="2" t="s">
        <v>31</v>
      </c>
      <c r="B6" s="15" t="n">
        <v>0.65</v>
      </c>
      <c r="E6" s="2" t="s">
        <v>32</v>
      </c>
    </row>
    <row outlineLevel="0" r="7">
      <c r="A7" s="2" t="s">
        <v>33</v>
      </c>
      <c r="B7" s="16" t="n">
        <f aca="false" ca="false" dt2D="false" dtr="false" t="normal">B6*B4/12+(1-B6)*B5</f>
        <v>66.60833333333333</v>
      </c>
      <c r="E7" s="2" t="s">
        <v>34</v>
      </c>
    </row>
    <row outlineLevel="0" r="8">
      <c r="A8" s="2" t="s">
        <v>35</v>
      </c>
      <c r="B8" s="15" t="n">
        <v>0.028</v>
      </c>
      <c r="E8" s="2" t="s">
        <v>36</v>
      </c>
    </row>
    <row outlineLevel="0" r="9">
      <c r="A9" s="2" t="s">
        <v>11</v>
      </c>
      <c r="B9" s="14" t="n">
        <v>12000</v>
      </c>
      <c r="E9" s="2" t="s">
        <v>37</v>
      </c>
    </row>
    <row outlineLevel="0" r="10">
      <c r="A10" s="2" t="s">
        <v>38</v>
      </c>
      <c r="B10" s="14" t="n">
        <v>500</v>
      </c>
      <c r="E10" s="2" t="s">
        <v>39</v>
      </c>
    </row>
    <row outlineLevel="0" r="11">
      <c r="A11" s="2" t="s">
        <v>40</v>
      </c>
      <c r="B11" s="14" t="n">
        <v>2000</v>
      </c>
      <c r="E11" s="2" t="s">
        <v>39</v>
      </c>
    </row>
    <row outlineLevel="0" r="13">
      <c r="A13" s="3" t="s">
        <v>41</v>
      </c>
      <c r="B13" s="3" t="s">
        <v>3</v>
      </c>
      <c r="C13" s="3" t="s">
        <v>4</v>
      </c>
      <c r="D13" s="3" t="s">
        <v>5</v>
      </c>
      <c r="E13" s="3" t="s">
        <v>26</v>
      </c>
    </row>
    <row outlineLevel="0" r="14">
      <c r="A14" s="2" t="s">
        <v>42</v>
      </c>
      <c r="B14" s="17" t="n">
        <v>0.3</v>
      </c>
      <c r="C14" s="17" t="n">
        <v>0.4</v>
      </c>
      <c r="D14" s="17" t="n">
        <v>0.5</v>
      </c>
      <c r="E14" s="2" t="s">
        <v>39</v>
      </c>
    </row>
    <row outlineLevel="0" r="15">
      <c r="A15" s="2" t="s">
        <v>43</v>
      </c>
      <c r="B15" s="15" t="n">
        <v>0.08</v>
      </c>
      <c r="C15" s="15" t="n">
        <v>0.15</v>
      </c>
      <c r="D15" s="15" t="n">
        <v>0.22</v>
      </c>
      <c r="E15" s="2" t="s">
        <v>44</v>
      </c>
    </row>
    <row outlineLevel="0" r="16">
      <c r="A16" s="2" t="s">
        <v>45</v>
      </c>
      <c r="B16" s="14" t="n">
        <v>2000</v>
      </c>
      <c r="C16" s="14" t="n">
        <v>3000</v>
      </c>
      <c r="D16" s="14" t="n">
        <v>5000</v>
      </c>
      <c r="E16" s="2" t="s">
        <v>39</v>
      </c>
    </row>
    <row outlineLevel="0" r="17">
      <c r="A17" s="2" t="s">
        <v>46</v>
      </c>
      <c r="B17" s="17" t="n">
        <v>0.15</v>
      </c>
      <c r="C17" s="17" t="n">
        <v>0.1</v>
      </c>
      <c r="D17" s="17" t="n">
        <v>0.07</v>
      </c>
      <c r="E17" s="2" t="s">
        <v>47</v>
      </c>
    </row>
    <row outlineLevel="0" r="18">
      <c r="A18" s="2" t="s">
        <v>48</v>
      </c>
      <c r="B18" s="17" t="n">
        <v>0.04</v>
      </c>
      <c r="C18" s="17" t="n">
        <v>0.04</v>
      </c>
      <c r="D18" s="17" t="n">
        <v>0.04</v>
      </c>
      <c r="E18" s="2" t="s">
        <v>49</v>
      </c>
    </row>
    <row outlineLevel="0" r="20">
      <c r="A20" s="3" t="s">
        <v>50</v>
      </c>
      <c r="B20" s="3" t="s">
        <v>3</v>
      </c>
      <c r="C20" s="3" t="s">
        <v>4</v>
      </c>
      <c r="D20" s="3" t="s">
        <v>5</v>
      </c>
      <c r="E20" s="3" t="s">
        <v>51</v>
      </c>
    </row>
    <row outlineLevel="0" r="21">
      <c r="A21" s="2" t="s">
        <v>52</v>
      </c>
      <c r="B21" s="14" t="n">
        <v>300</v>
      </c>
      <c r="C21" s="14" t="n">
        <v>500</v>
      </c>
      <c r="D21" s="14" t="n">
        <v>700</v>
      </c>
      <c r="E21" s="2" t="s">
        <v>53</v>
      </c>
    </row>
    <row outlineLevel="0" r="22">
      <c r="A22" s="2" t="s">
        <v>54</v>
      </c>
      <c r="B22" s="14" t="n">
        <v>70</v>
      </c>
      <c r="C22" s="14" t="n">
        <v>130</v>
      </c>
      <c r="D22" s="14" t="n">
        <v>200</v>
      </c>
    </row>
    <row outlineLevel="0" r="23">
      <c r="A23" s="2" t="s">
        <v>55</v>
      </c>
      <c r="B23" s="14" t="n">
        <v>70</v>
      </c>
      <c r="C23" s="14" t="n">
        <v>130</v>
      </c>
      <c r="D23" s="14" t="n">
        <v>200</v>
      </c>
    </row>
    <row outlineLevel="0" r="24">
      <c r="A24" s="2" t="s">
        <v>56</v>
      </c>
      <c r="B24" s="14" t="n">
        <v>80</v>
      </c>
      <c r="C24" s="14" t="n">
        <v>150</v>
      </c>
      <c r="D24" s="14" t="n">
        <v>250</v>
      </c>
    </row>
    <row outlineLevel="0" r="25">
      <c r="A25" s="2" t="s">
        <v>57</v>
      </c>
      <c r="B25" s="14" t="n">
        <v>80</v>
      </c>
      <c r="C25" s="14" t="n">
        <v>160</v>
      </c>
      <c r="D25" s="14" t="n">
        <v>280</v>
      </c>
    </row>
    <row outlineLevel="0" r="26">
      <c r="A26" s="2" t="s">
        <v>58</v>
      </c>
      <c r="B26" s="14" t="n">
        <v>80</v>
      </c>
      <c r="C26" s="14" t="n">
        <v>160</v>
      </c>
      <c r="D26" s="14" t="n">
        <v>280</v>
      </c>
    </row>
    <row outlineLevel="0" r="27">
      <c r="A27" s="2" t="s">
        <v>59</v>
      </c>
      <c r="B27" s="14" t="n">
        <v>60</v>
      </c>
      <c r="C27" s="14" t="n">
        <v>130</v>
      </c>
      <c r="D27" s="14" t="n">
        <v>230</v>
      </c>
    </row>
    <row outlineLevel="0" r="28">
      <c r="A28" s="2" t="s">
        <v>60</v>
      </c>
      <c r="B28" s="14" t="n">
        <v>70</v>
      </c>
      <c r="C28" s="14" t="n">
        <v>150</v>
      </c>
      <c r="D28" s="14" t="n">
        <v>280</v>
      </c>
    </row>
    <row outlineLevel="0" r="29">
      <c r="A29" s="2" t="s">
        <v>61</v>
      </c>
      <c r="B29" s="14" t="n">
        <v>70</v>
      </c>
      <c r="C29" s="14" t="n">
        <v>150</v>
      </c>
      <c r="D29" s="14" t="n">
        <v>280</v>
      </c>
    </row>
    <row outlineLevel="0" r="30">
      <c r="A30" s="2" t="s">
        <v>62</v>
      </c>
      <c r="B30" s="14" t="n">
        <v>80</v>
      </c>
      <c r="C30" s="14" t="n">
        <v>170</v>
      </c>
      <c r="D30" s="14" t="n">
        <v>310</v>
      </c>
    </row>
    <row outlineLevel="0" r="31">
      <c r="A31" s="2" t="s">
        <v>63</v>
      </c>
      <c r="B31" s="14" t="n">
        <v>80</v>
      </c>
      <c r="C31" s="14" t="n">
        <v>180</v>
      </c>
      <c r="D31" s="14" t="n">
        <v>330</v>
      </c>
    </row>
    <row outlineLevel="0" r="32">
      <c r="A32" s="2" t="s">
        <v>64</v>
      </c>
      <c r="B32" s="14" t="n">
        <v>80</v>
      </c>
      <c r="C32" s="14" t="n">
        <v>190</v>
      </c>
      <c r="D32" s="14" t="n">
        <v>350</v>
      </c>
    </row>
    <row outlineLevel="0" r="33">
      <c r="A33" s="5" t="s">
        <v>65</v>
      </c>
      <c r="B33" s="18" t="n">
        <f aca="false" ca="false" dt2D="false" dtr="false" t="normal">SUM(B21:B32)</f>
        <v>1120</v>
      </c>
      <c r="C33" s="18" t="n">
        <f aca="false" ca="false" dt2D="false" dtr="false" t="normal">SUM(C21:C32)</f>
        <v>2200</v>
      </c>
      <c r="D33" s="18" t="n">
        <f aca="false" ca="false" dt2D="false" dtr="false" t="normal">SUM(D21:D32)</f>
        <v>3690</v>
      </c>
    </row>
    <row outlineLevel="0" r="35">
      <c r="A35" s="3" t="s">
        <v>66</v>
      </c>
      <c r="B35" s="3" t="s">
        <v>67</v>
      </c>
      <c r="C35" s="3" t="s">
        <v>68</v>
      </c>
      <c r="D35" s="3" t="n"/>
      <c r="E35" s="3" t="s">
        <v>51</v>
      </c>
    </row>
    <row outlineLevel="0" r="36">
      <c r="A36" s="2" t="s">
        <v>52</v>
      </c>
      <c r="B36" s="14" t="n">
        <v>100</v>
      </c>
      <c r="C36" s="14" t="n">
        <v>0</v>
      </c>
      <c r="E36" s="2" t="s">
        <v>69</v>
      </c>
    </row>
    <row outlineLevel="0" r="37">
      <c r="A37" s="2" t="s">
        <v>54</v>
      </c>
      <c r="B37" s="14" t="n">
        <v>100</v>
      </c>
      <c r="C37" s="14" t="n">
        <v>0</v>
      </c>
    </row>
    <row outlineLevel="0" r="38">
      <c r="A38" s="2" t="s">
        <v>55</v>
      </c>
      <c r="B38" s="14" t="n">
        <v>100</v>
      </c>
      <c r="C38" s="14" t="n">
        <v>0</v>
      </c>
    </row>
    <row outlineLevel="0" r="39">
      <c r="A39" s="2" t="s">
        <v>56</v>
      </c>
      <c r="B39" s="14" t="n">
        <v>200</v>
      </c>
      <c r="C39" s="14" t="n">
        <v>200</v>
      </c>
    </row>
    <row outlineLevel="0" r="40">
      <c r="A40" s="2" t="s">
        <v>57</v>
      </c>
      <c r="B40" s="14" t="n">
        <v>200</v>
      </c>
      <c r="C40" s="14" t="n">
        <v>300</v>
      </c>
    </row>
    <row outlineLevel="0" r="41">
      <c r="A41" s="2" t="s">
        <v>58</v>
      </c>
      <c r="B41" s="14" t="n">
        <v>200</v>
      </c>
      <c r="C41" s="14" t="n">
        <v>300</v>
      </c>
    </row>
    <row outlineLevel="0" r="42">
      <c r="A42" s="2" t="s">
        <v>59</v>
      </c>
      <c r="B42" s="14" t="n">
        <v>200</v>
      </c>
      <c r="C42" s="14" t="n">
        <v>300</v>
      </c>
    </row>
    <row outlineLevel="0" r="43">
      <c r="A43" s="2" t="s">
        <v>60</v>
      </c>
      <c r="B43" s="14" t="n">
        <v>250</v>
      </c>
      <c r="C43" s="14" t="n">
        <v>300</v>
      </c>
    </row>
    <row outlineLevel="0" r="44">
      <c r="A44" s="2" t="s">
        <v>61</v>
      </c>
      <c r="B44" s="14" t="n">
        <v>250</v>
      </c>
      <c r="C44" s="14" t="n">
        <v>300</v>
      </c>
    </row>
    <row outlineLevel="0" r="45">
      <c r="A45" s="2" t="s">
        <v>62</v>
      </c>
      <c r="B45" s="14" t="n">
        <v>300</v>
      </c>
      <c r="C45" s="14" t="n">
        <v>300</v>
      </c>
    </row>
    <row outlineLevel="0" r="46">
      <c r="A46" s="2" t="s">
        <v>63</v>
      </c>
      <c r="B46" s="14" t="n">
        <v>300</v>
      </c>
      <c r="C46" s="14" t="n">
        <v>300</v>
      </c>
    </row>
    <row outlineLevel="0" r="47">
      <c r="A47" s="2" t="s">
        <v>64</v>
      </c>
      <c r="B47" s="14" t="n">
        <v>350</v>
      </c>
      <c r="C47" s="14" t="n">
        <v>300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N21"/>
  <sheetViews>
    <sheetView showZeros="true" workbookViewId="0">
      <pane activePane="bottomRight" state="frozen" topLeftCell="B4" xSplit="1" ySplit="3"/>
    </sheetView>
  </sheetViews>
  <sheetFormatPr baseColWidth="8" customHeight="false" defaultColWidth="9.14062530925693" defaultRowHeight="15" zeroHeight="false"/>
  <cols>
    <col customWidth="true" max="1" min="1" outlineLevel="0" width="33.9999989850029"/>
    <col customWidth="true" max="14" min="2" outlineLevel="0" width="10.9999998308338"/>
  </cols>
  <sheetData>
    <row outlineLevel="0" r="1">
      <c r="A1" s="1" t="s">
        <v>70</v>
      </c>
    </row>
    <row outlineLevel="0" r="2">
      <c r="A2" s="2" t="s">
        <v>71</v>
      </c>
    </row>
    <row outlineLevel="0" r="3">
      <c r="A3" s="3" t="s">
        <v>2</v>
      </c>
      <c r="B3" s="3" t="s">
        <v>72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  <c r="H3" s="3" t="s">
        <v>78</v>
      </c>
      <c r="I3" s="3" t="s">
        <v>79</v>
      </c>
      <c r="J3" s="3" t="s">
        <v>80</v>
      </c>
      <c r="K3" s="3" t="s">
        <v>81</v>
      </c>
      <c r="L3" s="3" t="s">
        <v>82</v>
      </c>
      <c r="M3" s="3" t="s">
        <v>83</v>
      </c>
      <c r="N3" s="3" t="s">
        <v>84</v>
      </c>
    </row>
    <row outlineLevel="0" r="4">
      <c r="A4" s="2" t="s">
        <v>85</v>
      </c>
      <c r="B4" s="4" t="n">
        <f aca="false" ca="false" dt2D="false" dtr="false" t="normal">'Допущения'!B21</f>
        <v>300</v>
      </c>
      <c r="C4" s="4" t="n">
        <f aca="false" ca="false" dt2D="false" dtr="false" t="normal">'Допущения'!B22</f>
        <v>70</v>
      </c>
      <c r="D4" s="4" t="n">
        <f aca="false" ca="false" dt2D="false" dtr="false" t="normal">'Допущения'!B23</f>
        <v>70</v>
      </c>
      <c r="E4" s="4" t="n">
        <f aca="false" ca="false" dt2D="false" dtr="false" t="normal">'Допущения'!B24</f>
        <v>80</v>
      </c>
      <c r="F4" s="4" t="n">
        <f aca="false" ca="false" dt2D="false" dtr="false" t="normal">'Допущения'!B25</f>
        <v>80</v>
      </c>
      <c r="G4" s="4" t="n">
        <f aca="false" ca="false" dt2D="false" dtr="false" t="normal">'Допущения'!B26</f>
        <v>80</v>
      </c>
      <c r="H4" s="4" t="n">
        <f aca="false" ca="false" dt2D="false" dtr="false" t="normal">'Допущения'!B27</f>
        <v>60</v>
      </c>
      <c r="I4" s="4" t="n">
        <f aca="false" ca="false" dt2D="false" dtr="false" t="normal">'Допущения'!B28</f>
        <v>70</v>
      </c>
      <c r="J4" s="4" t="n">
        <f aca="false" ca="false" dt2D="false" dtr="false" t="normal">'Допущения'!B29</f>
        <v>70</v>
      </c>
      <c r="K4" s="4" t="n">
        <f aca="false" ca="false" dt2D="false" dtr="false" t="normal">'Допущения'!B30</f>
        <v>80</v>
      </c>
      <c r="L4" s="4" t="n">
        <f aca="false" ca="false" dt2D="false" dtr="false" t="normal">'Допущения'!B31</f>
        <v>80</v>
      </c>
      <c r="M4" s="4" t="n">
        <f aca="false" ca="false" dt2D="false" dtr="false" t="normal">'Допущения'!B32</f>
        <v>80</v>
      </c>
      <c r="N4" s="18" t="n">
        <f aca="false" ca="false" dt2D="false" dtr="false" t="normal">SUM(B4:M4)</f>
        <v>1120</v>
      </c>
    </row>
    <row outlineLevel="0" r="5">
      <c r="A5" s="2" t="s">
        <v>86</v>
      </c>
      <c r="B5" s="19" t="n">
        <f aca="false" ca="false" dt2D="false" dtr="false" t="normal">B4</f>
        <v>300</v>
      </c>
      <c r="C5" s="19" t="n">
        <f aca="false" ca="false" dt2D="false" dtr="false" t="normal">B5+C4</f>
        <v>370</v>
      </c>
      <c r="D5" s="19" t="n">
        <f aca="false" ca="false" dt2D="false" dtr="false" t="normal">C5+D4</f>
        <v>440</v>
      </c>
      <c r="E5" s="19" t="n">
        <f aca="false" ca="false" dt2D="false" dtr="false" t="normal">D5+E4</f>
        <v>520</v>
      </c>
      <c r="F5" s="19" t="n">
        <f aca="false" ca="false" dt2D="false" dtr="false" t="normal">E5+F4</f>
        <v>600</v>
      </c>
      <c r="G5" s="19" t="n">
        <f aca="false" ca="false" dt2D="false" dtr="false" t="normal">F5+G4</f>
        <v>680</v>
      </c>
      <c r="H5" s="19" t="n">
        <f aca="false" ca="false" dt2D="false" dtr="false" t="normal">G5+H4</f>
        <v>740</v>
      </c>
      <c r="I5" s="19" t="n">
        <f aca="false" ca="false" dt2D="false" dtr="false" t="normal">H5+I4</f>
        <v>810</v>
      </c>
      <c r="J5" s="19" t="n">
        <f aca="false" ca="false" dt2D="false" dtr="false" t="normal">I5+J4</f>
        <v>880</v>
      </c>
      <c r="K5" s="19" t="n">
        <f aca="false" ca="false" dt2D="false" dtr="false" t="normal">J5+K4</f>
        <v>960</v>
      </c>
      <c r="L5" s="19" t="n">
        <f aca="false" ca="false" dt2D="false" dtr="false" t="normal">K5+L4</f>
        <v>1040</v>
      </c>
      <c r="M5" s="19" t="n">
        <f aca="false" ca="false" dt2D="false" dtr="false" t="normal">L5+M4</f>
        <v>1120</v>
      </c>
      <c r="N5" s="18" t="n">
        <f aca="false" ca="false" dt2D="false" dtr="false" t="normal">M5</f>
        <v>1120</v>
      </c>
    </row>
    <row outlineLevel="0" r="6">
      <c r="A6" s="2" t="s">
        <v>87</v>
      </c>
      <c r="B6" s="19" t="n">
        <f aca="false" ca="false" dt2D="false" dtr="false" t="normal">ROUND(B5*'Допущения'!B14, 0)</f>
        <v>90</v>
      </c>
      <c r="C6" s="19" t="n">
        <f aca="false" ca="false" dt2D="false" dtr="false" t="normal">ROUND(C5*'Допущения'!B14, 0)</f>
        <v>111</v>
      </c>
      <c r="D6" s="19" t="n">
        <f aca="false" ca="false" dt2D="false" dtr="false" t="normal">ROUND(D5*'Допущения'!B14, 0)</f>
        <v>132</v>
      </c>
      <c r="E6" s="19" t="n">
        <f aca="false" ca="false" dt2D="false" dtr="false" t="normal">ROUND(E5*'Допущения'!B14, 0)</f>
        <v>156</v>
      </c>
      <c r="F6" s="19" t="n">
        <f aca="false" ca="false" dt2D="false" dtr="false" t="normal">ROUND(F5*'Допущения'!B14, 0)</f>
        <v>180</v>
      </c>
      <c r="G6" s="19" t="n">
        <f aca="false" ca="false" dt2D="false" dtr="false" t="normal">ROUND(G5*'Допущения'!B14, 0)</f>
        <v>204</v>
      </c>
      <c r="H6" s="19" t="n">
        <f aca="false" ca="false" dt2D="false" dtr="false" t="normal">ROUND(H5*'Допущения'!B14, 0)</f>
        <v>222</v>
      </c>
      <c r="I6" s="19" t="n">
        <f aca="false" ca="false" dt2D="false" dtr="false" t="normal">ROUND(I5*'Допущения'!B14, 0)</f>
        <v>243</v>
      </c>
      <c r="J6" s="19" t="n">
        <f aca="false" ca="false" dt2D="false" dtr="false" t="normal">ROUND(J5*'Допущения'!B14, 0)</f>
        <v>264</v>
      </c>
      <c r="K6" s="19" t="n">
        <f aca="false" ca="false" dt2D="false" dtr="false" t="normal">ROUND(K5*'Допущения'!B14, 0)</f>
        <v>288</v>
      </c>
      <c r="L6" s="19" t="n">
        <f aca="false" ca="false" dt2D="false" dtr="false" t="normal">ROUND(L5*'Допущения'!B14, 0)</f>
        <v>312</v>
      </c>
      <c r="M6" s="19" t="n">
        <f aca="false" ca="false" dt2D="false" dtr="false" t="normal">ROUND(M5*'Допущения'!B14, 0)</f>
        <v>336</v>
      </c>
      <c r="N6" s="18" t="n">
        <f aca="false" ca="false" dt2D="false" dtr="false" t="normal">M6</f>
        <v>336</v>
      </c>
    </row>
    <row outlineLevel="0" r="7">
      <c r="A7" s="2" t="s">
        <v>88</v>
      </c>
      <c r="B7" s="19" t="n">
        <f aca="false" ca="false" dt2D="false" dtr="false" t="normal">ROUND(B6*'Допущения'!B15, 0)</f>
        <v>7</v>
      </c>
      <c r="C7" s="19" t="n">
        <f aca="false" ca="false" dt2D="false" dtr="false" t="normal">ROUND(C6*'Допущения'!B15, 0)</f>
        <v>9</v>
      </c>
      <c r="D7" s="19" t="n">
        <f aca="false" ca="false" dt2D="false" dtr="false" t="normal">ROUND(D6*'Допущения'!B15, 0)</f>
        <v>11</v>
      </c>
      <c r="E7" s="19" t="n">
        <f aca="false" ca="false" dt2D="false" dtr="false" t="normal">ROUND(E6*'Допущения'!B15, 0)</f>
        <v>12</v>
      </c>
      <c r="F7" s="19" t="n">
        <f aca="false" ca="false" dt2D="false" dtr="false" t="normal">ROUND(F6*'Допущения'!B15, 0)</f>
        <v>14</v>
      </c>
      <c r="G7" s="19" t="n">
        <f aca="false" ca="false" dt2D="false" dtr="false" t="normal">ROUND(G6*'Допущения'!B15, 0)</f>
        <v>16</v>
      </c>
      <c r="H7" s="19" t="n">
        <f aca="false" ca="false" dt2D="false" dtr="false" t="normal">ROUND(H6*'Допущения'!B15, 0)</f>
        <v>18</v>
      </c>
      <c r="I7" s="19" t="n">
        <f aca="false" ca="false" dt2D="false" dtr="false" t="normal">ROUND(I6*'Допущения'!B15, 0)</f>
        <v>19</v>
      </c>
      <c r="J7" s="19" t="n">
        <f aca="false" ca="false" dt2D="false" dtr="false" t="normal">ROUND(J6*'Допущения'!B15, 0)</f>
        <v>21</v>
      </c>
      <c r="K7" s="19" t="n">
        <f aca="false" ca="false" dt2D="false" dtr="false" t="normal">ROUND(K6*'Допущения'!B15, 0)</f>
        <v>23</v>
      </c>
      <c r="L7" s="19" t="n">
        <f aca="false" ca="false" dt2D="false" dtr="false" t="normal">ROUND(L6*'Допущения'!B15, 0)</f>
        <v>25</v>
      </c>
      <c r="M7" s="19" t="n">
        <f aca="false" ca="false" dt2D="false" dtr="false" t="normal">ROUND(M6*'Допущения'!B15, 0)</f>
        <v>27</v>
      </c>
      <c r="N7" s="18" t="n">
        <f aca="false" ca="false" dt2D="false" dtr="false" t="normal">M7</f>
        <v>27</v>
      </c>
    </row>
    <row outlineLevel="0" r="8">
      <c r="A8" s="5" t="s">
        <v>89</v>
      </c>
      <c r="B8" s="18" t="n">
        <f aca="false" ca="false" dt2D="false" dtr="false" t="normal">B7*'Допущения'!$B$7</f>
        <v>466.2583333333333</v>
      </c>
      <c r="C8" s="18" t="n">
        <f aca="false" ca="false" dt2D="false" dtr="false" t="normal">C7*'Допущения'!$B$7</f>
        <v>599.475</v>
      </c>
      <c r="D8" s="18" t="n">
        <f aca="false" ca="false" dt2D="false" dtr="false" t="normal">D7*'Допущения'!$B$7</f>
        <v>732.6916666666667</v>
      </c>
      <c r="E8" s="18" t="n">
        <f aca="false" ca="false" dt2D="false" dtr="false" t="normal">E7*'Допущения'!$B$7</f>
        <v>799.3</v>
      </c>
      <c r="F8" s="18" t="n">
        <f aca="false" ca="false" dt2D="false" dtr="false" t="normal">F7*'Допущения'!$B$7</f>
        <v>932.5166666666667</v>
      </c>
      <c r="G8" s="18" t="n">
        <f aca="false" ca="false" dt2D="false" dtr="false" t="normal">G7*'Допущения'!$B$7</f>
        <v>1065.7333333333333</v>
      </c>
      <c r="H8" s="18" t="n">
        <f aca="false" ca="false" dt2D="false" dtr="false" t="normal">H7*'Допущения'!$B$7</f>
        <v>1198.95</v>
      </c>
      <c r="I8" s="18" t="n">
        <f aca="false" ca="false" dt2D="false" dtr="false" t="normal">I7*'Допущения'!$B$7</f>
        <v>1265.5583333333334</v>
      </c>
      <c r="J8" s="18" t="n">
        <f aca="false" ca="false" dt2D="false" dtr="false" t="normal">J7*'Допущения'!$B$7</f>
        <v>1398.775</v>
      </c>
      <c r="K8" s="18" t="n">
        <f aca="false" ca="false" dt2D="false" dtr="false" t="normal">K7*'Допущения'!$B$7</f>
        <v>1531.9916666666668</v>
      </c>
      <c r="L8" s="18" t="n">
        <f aca="false" ca="false" dt2D="false" dtr="false" t="normal">L7*'Допущения'!$B$7</f>
        <v>1665.2083333333333</v>
      </c>
      <c r="M8" s="18" t="n">
        <f aca="false" ca="false" dt2D="false" dtr="false" t="normal">M7*'Допущения'!$B$7</f>
        <v>1798.425</v>
      </c>
      <c r="N8" s="18" t="n">
        <f aca="false" ca="false" dt2D="false" dtr="false" t="normal">SUM(B8:M8)</f>
        <v>13454.883333333333</v>
      </c>
    </row>
    <row outlineLevel="0" r="9">
      <c r="A9" s="11" t="s">
        <v>90</v>
      </c>
    </row>
    <row outlineLevel="0" r="10">
      <c r="A10" s="2" t="s">
        <v>91</v>
      </c>
      <c r="B10" s="4" t="n">
        <f aca="false" ca="false" dt2D="false" dtr="false" t="normal">'Допущения'!$B$10</f>
        <v>500</v>
      </c>
      <c r="C10" s="4" t="n">
        <f aca="false" ca="false" dt2D="false" dtr="false" t="normal">'Допущения'!$B$10</f>
        <v>500</v>
      </c>
      <c r="D10" s="4" t="n">
        <f aca="false" ca="false" dt2D="false" dtr="false" t="normal">'Допущения'!$B$10</f>
        <v>500</v>
      </c>
      <c r="E10" s="4" t="n">
        <f aca="false" ca="false" dt2D="false" dtr="false" t="normal">'Допущения'!$B$10</f>
        <v>500</v>
      </c>
      <c r="F10" s="4" t="n">
        <f aca="false" ca="false" dt2D="false" dtr="false" t="normal">'Допущения'!$B$10</f>
        <v>500</v>
      </c>
      <c r="G10" s="4" t="n">
        <f aca="false" ca="false" dt2D="false" dtr="false" t="normal">'Допущения'!$B$10</f>
        <v>500</v>
      </c>
      <c r="H10" s="4" t="n">
        <f aca="false" ca="false" dt2D="false" dtr="false" t="normal">'Допущения'!$B$10</f>
        <v>500</v>
      </c>
      <c r="I10" s="4" t="n">
        <f aca="false" ca="false" dt2D="false" dtr="false" t="normal">'Допущения'!$B$10</f>
        <v>500</v>
      </c>
      <c r="J10" s="4" t="n">
        <f aca="false" ca="false" dt2D="false" dtr="false" t="normal">'Допущения'!$B$10</f>
        <v>500</v>
      </c>
      <c r="K10" s="4" t="n">
        <f aca="false" ca="false" dt2D="false" dtr="false" t="normal">'Допущения'!$B$10</f>
        <v>500</v>
      </c>
      <c r="L10" s="4" t="n">
        <f aca="false" ca="false" dt2D="false" dtr="false" t="normal">'Допущения'!$B$10</f>
        <v>500</v>
      </c>
      <c r="M10" s="4" t="n">
        <f aca="false" ca="false" dt2D="false" dtr="false" t="normal">'Допущения'!$B$10</f>
        <v>500</v>
      </c>
      <c r="N10" s="18" t="n">
        <f aca="false" ca="false" dt2D="false" dtr="false" t="normal">SUM(B10:M10)</f>
        <v>6000</v>
      </c>
    </row>
    <row outlineLevel="0" r="11">
      <c r="A11" s="2" t="s">
        <v>92</v>
      </c>
      <c r="B11" s="19" t="n">
        <f aca="false" ca="false" dt2D="false" dtr="false" t="normal">IF(1&lt;=3, 'Допущения'!$B$11, 'Допущения'!B16)</f>
        <v>2000</v>
      </c>
      <c r="C11" s="19" t="n">
        <f aca="false" ca="false" dt2D="false" dtr="false" t="normal">IF(2&lt;=3, 'Допущения'!$B$11, 'Допущения'!B16)</f>
        <v>2000</v>
      </c>
      <c r="D11" s="19" t="n">
        <f aca="false" ca="false" dt2D="false" dtr="false" t="normal">IF(3&lt;=3, 'Допущения'!$B$11, 'Допущения'!B16)</f>
        <v>2000</v>
      </c>
      <c r="E11" s="19" t="n">
        <f aca="false" ca="false" dt2D="false" dtr="false" t="normal">IF(4&lt;=3, 'Допущения'!$B$11, 'Допущения'!B16)</f>
        <v>2000</v>
      </c>
      <c r="F11" s="19" t="n">
        <f aca="false" ca="false" dt2D="false" dtr="false" t="normal">IF(5&lt;=3, 'Допущения'!$B$11, 'Допущения'!B16)</f>
        <v>2000</v>
      </c>
      <c r="G11" s="19" t="n">
        <f aca="false" ca="false" dt2D="false" dtr="false" t="normal">IF(6&lt;=3, 'Допущения'!$B$11, 'Допущения'!B16)</f>
        <v>2000</v>
      </c>
      <c r="H11" s="19" t="n">
        <f aca="false" ca="false" dt2D="false" dtr="false" t="normal">IF(7&lt;=3, 'Допущения'!$B$11, 'Допущения'!B16)</f>
        <v>2000</v>
      </c>
      <c r="I11" s="19" t="n">
        <f aca="false" ca="false" dt2D="false" dtr="false" t="normal">IF(8&lt;=3, 'Допущения'!$B$11, 'Допущения'!B16)</f>
        <v>2000</v>
      </c>
      <c r="J11" s="19" t="n">
        <f aca="false" ca="false" dt2D="false" dtr="false" t="normal">IF(9&lt;=3, 'Допущения'!$B$11, 'Допущения'!B16)</f>
        <v>2000</v>
      </c>
      <c r="K11" s="19" t="n">
        <f aca="false" ca="false" dt2D="false" dtr="false" t="normal">IF(10&lt;=3, 'Допущения'!$B$11, 'Допущения'!B16)</f>
        <v>2000</v>
      </c>
      <c r="L11" s="19" t="n">
        <f aca="false" ca="false" dt2D="false" dtr="false" t="normal">IF(11&lt;=3, 'Допущения'!$B$11, 'Допущения'!B16)</f>
        <v>2000</v>
      </c>
      <c r="M11" s="19" t="n">
        <f aca="false" ca="false" dt2D="false" dtr="false" t="normal">IF(12&lt;=3, 'Допущения'!$B$11, 'Допущения'!B16)</f>
        <v>2000</v>
      </c>
      <c r="N11" s="18" t="n">
        <f aca="false" ca="false" dt2D="false" dtr="false" t="normal">SUM(B11:M11)</f>
        <v>24000</v>
      </c>
    </row>
    <row outlineLevel="0" r="12">
      <c r="A12" s="2" t="s">
        <v>93</v>
      </c>
      <c r="B12" s="4" t="n">
        <f aca="false" ca="false" dt2D="false" dtr="false" t="normal">'Допущения'!B36</f>
        <v>100</v>
      </c>
      <c r="C12" s="4" t="n">
        <f aca="false" ca="false" dt2D="false" dtr="false" t="normal">'Допущения'!B37</f>
        <v>100</v>
      </c>
      <c r="D12" s="4" t="n">
        <f aca="false" ca="false" dt2D="false" dtr="false" t="normal">'Допущения'!B38</f>
        <v>100</v>
      </c>
      <c r="E12" s="4" t="n">
        <f aca="false" ca="false" dt2D="false" dtr="false" t="normal">'Допущения'!B39</f>
        <v>200</v>
      </c>
      <c r="F12" s="4" t="n">
        <f aca="false" ca="false" dt2D="false" dtr="false" t="normal">'Допущения'!B40</f>
        <v>200</v>
      </c>
      <c r="G12" s="4" t="n">
        <f aca="false" ca="false" dt2D="false" dtr="false" t="normal">'Допущения'!B41</f>
        <v>200</v>
      </c>
      <c r="H12" s="4" t="n">
        <f aca="false" ca="false" dt2D="false" dtr="false" t="normal">'Допущения'!B42</f>
        <v>200</v>
      </c>
      <c r="I12" s="4" t="n">
        <f aca="false" ca="false" dt2D="false" dtr="false" t="normal">'Допущения'!B43</f>
        <v>250</v>
      </c>
      <c r="J12" s="4" t="n">
        <f aca="false" ca="false" dt2D="false" dtr="false" t="normal">'Допущения'!B44</f>
        <v>250</v>
      </c>
      <c r="K12" s="4" t="n">
        <f aca="false" ca="false" dt2D="false" dtr="false" t="normal">'Допущения'!B45</f>
        <v>300</v>
      </c>
      <c r="L12" s="4" t="n">
        <f aca="false" ca="false" dt2D="false" dtr="false" t="normal">'Допущения'!B46</f>
        <v>300</v>
      </c>
      <c r="M12" s="4" t="n">
        <f aca="false" ca="false" dt2D="false" dtr="false" t="normal">'Допущения'!B47</f>
        <v>350</v>
      </c>
      <c r="N12" s="18" t="n">
        <f aca="false" ca="false" dt2D="false" dtr="false" t="normal">SUM(B12:M12)</f>
        <v>2550</v>
      </c>
    </row>
    <row outlineLevel="0" r="13">
      <c r="A13" s="2" t="s">
        <v>94</v>
      </c>
      <c r="B13" s="4" t="n">
        <f aca="false" ca="false" dt2D="false" dtr="false" t="normal">'Допущения'!C36</f>
        <v>0</v>
      </c>
      <c r="C13" s="4" t="n">
        <f aca="false" ca="false" dt2D="false" dtr="false" t="normal">'Допущения'!C37</f>
        <v>0</v>
      </c>
      <c r="D13" s="4" t="n">
        <f aca="false" ca="false" dt2D="false" dtr="false" t="normal">'Допущения'!C38</f>
        <v>0</v>
      </c>
      <c r="E13" s="4" t="n">
        <f aca="false" ca="false" dt2D="false" dtr="false" t="normal">'Допущения'!C39</f>
        <v>200</v>
      </c>
      <c r="F13" s="4" t="n">
        <f aca="false" ca="false" dt2D="false" dtr="false" t="normal">'Допущения'!C40</f>
        <v>300</v>
      </c>
      <c r="G13" s="4" t="n">
        <f aca="false" ca="false" dt2D="false" dtr="false" t="normal">'Допущения'!C41</f>
        <v>300</v>
      </c>
      <c r="H13" s="4" t="n">
        <f aca="false" ca="false" dt2D="false" dtr="false" t="normal">'Допущения'!C42</f>
        <v>300</v>
      </c>
      <c r="I13" s="4" t="n">
        <f aca="false" ca="false" dt2D="false" dtr="false" t="normal">'Допущения'!C43</f>
        <v>300</v>
      </c>
      <c r="J13" s="4" t="n">
        <f aca="false" ca="false" dt2D="false" dtr="false" t="normal">'Допущения'!C44</f>
        <v>300</v>
      </c>
      <c r="K13" s="4" t="n">
        <f aca="false" ca="false" dt2D="false" dtr="false" t="normal">'Допущения'!C45</f>
        <v>300</v>
      </c>
      <c r="L13" s="4" t="n">
        <f aca="false" ca="false" dt2D="false" dtr="false" t="normal">'Допущения'!C46</f>
        <v>300</v>
      </c>
      <c r="M13" s="4" t="n">
        <f aca="false" ca="false" dt2D="false" dtr="false" t="normal">'Допущения'!C47</f>
        <v>300</v>
      </c>
      <c r="N13" s="18" t="n">
        <f aca="false" ca="false" dt2D="false" dtr="false" t="normal">SUM(B13:M13)</f>
        <v>2600</v>
      </c>
    </row>
    <row outlineLevel="0" r="14">
      <c r="A14" s="2" t="s">
        <v>95</v>
      </c>
      <c r="B14" s="19" t="n">
        <f aca="false" ca="false" dt2D="false" dtr="false" t="normal">B8*'Допущения'!$B$8</f>
        <v>13.055233333333334</v>
      </c>
      <c r="C14" s="19" t="n">
        <f aca="false" ca="false" dt2D="false" dtr="false" t="normal">C8*'Допущения'!$B$8</f>
        <v>16.7853</v>
      </c>
      <c r="D14" s="19" t="n">
        <f aca="false" ca="false" dt2D="false" dtr="false" t="normal">D8*'Допущения'!$B$8</f>
        <v>20.51536666666667</v>
      </c>
      <c r="E14" s="19" t="n">
        <f aca="false" ca="false" dt2D="false" dtr="false" t="normal">E8*'Допущения'!$B$8</f>
        <v>22.380399999999998</v>
      </c>
      <c r="F14" s="19" t="n">
        <f aca="false" ca="false" dt2D="false" dtr="false" t="normal">F8*'Допущения'!$B$8</f>
        <v>26.110466666666667</v>
      </c>
      <c r="G14" s="19" t="n">
        <f aca="false" ca="false" dt2D="false" dtr="false" t="normal">G8*'Допущения'!$B$8</f>
        <v>29.840533333333333</v>
      </c>
      <c r="H14" s="19" t="n">
        <f aca="false" ca="false" dt2D="false" dtr="false" t="normal">H8*'Допущения'!$B$8</f>
        <v>33.5706</v>
      </c>
      <c r="I14" s="19" t="n">
        <f aca="false" ca="false" dt2D="false" dtr="false" t="normal">I8*'Допущения'!$B$8</f>
        <v>35.435633333333335</v>
      </c>
      <c r="J14" s="19" t="n">
        <f aca="false" ca="false" dt2D="false" dtr="false" t="normal">J8*'Допущения'!$B$8</f>
        <v>39.1657</v>
      </c>
      <c r="K14" s="19" t="n">
        <f aca="false" ca="false" dt2D="false" dtr="false" t="normal">K8*'Допущения'!$B$8</f>
        <v>42.895766666666674</v>
      </c>
      <c r="L14" s="19" t="n">
        <f aca="false" ca="false" dt2D="false" dtr="false" t="normal">L8*'Допущения'!$B$8</f>
        <v>46.62583333333333</v>
      </c>
      <c r="M14" s="19" t="n">
        <f aca="false" ca="false" dt2D="false" dtr="false" t="normal">M8*'Допущения'!$B$8</f>
        <v>50.3559</v>
      </c>
      <c r="N14" s="18" t="n">
        <f aca="false" ca="false" dt2D="false" dtr="false" t="normal">SUM(B14:M14)</f>
        <v>376.73673333333335</v>
      </c>
    </row>
    <row outlineLevel="0" r="15">
      <c r="A15" s="5" t="s">
        <v>96</v>
      </c>
      <c r="B15" s="18" t="n">
        <f aca="false" ca="false" dt2D="false" dtr="false" t="normal">SUM(B10:B14)</f>
        <v>2613.0552333333335</v>
      </c>
      <c r="C15" s="18" t="n">
        <f aca="false" ca="false" dt2D="false" dtr="false" t="normal">SUM(C10:C14)</f>
        <v>2616.7853</v>
      </c>
      <c r="D15" s="18" t="n">
        <f aca="false" ca="false" dt2D="false" dtr="false" t="normal">SUM(D10:D14)</f>
        <v>2620.5153666666665</v>
      </c>
      <c r="E15" s="18" t="n">
        <f aca="false" ca="false" dt2D="false" dtr="false" t="normal">SUM(E10:E14)</f>
        <v>2922.3804</v>
      </c>
      <c r="F15" s="18" t="n">
        <f aca="false" ca="false" dt2D="false" dtr="false" t="normal">SUM(F10:F14)</f>
        <v>3026.1104666666665</v>
      </c>
      <c r="G15" s="18" t="n">
        <f aca="false" ca="false" dt2D="false" dtr="false" t="normal">SUM(G10:G14)</f>
        <v>3029.8405333333335</v>
      </c>
      <c r="H15" s="18" t="n">
        <f aca="false" ca="false" dt2D="false" dtr="false" t="normal">SUM(H10:H14)</f>
        <v>3033.5706</v>
      </c>
      <c r="I15" s="18" t="n">
        <f aca="false" ca="false" dt2D="false" dtr="false" t="normal">SUM(I10:I14)</f>
        <v>3085.4356333333335</v>
      </c>
      <c r="J15" s="18" t="n">
        <f aca="false" ca="false" dt2D="false" dtr="false" t="normal">SUM(J10:J14)</f>
        <v>3089.1657</v>
      </c>
      <c r="K15" s="18" t="n">
        <f aca="false" ca="false" dt2D="false" dtr="false" t="normal">SUM(K10:K14)</f>
        <v>3142.8957666666665</v>
      </c>
      <c r="L15" s="18" t="n">
        <f aca="false" ca="false" dt2D="false" dtr="false" t="normal">SUM(L10:L14)</f>
        <v>3146.6258333333335</v>
      </c>
      <c r="M15" s="18" t="n">
        <f aca="false" ca="false" dt2D="false" dtr="false" t="normal">SUM(M10:M14)</f>
        <v>3200.3559</v>
      </c>
      <c r="N15" s="18" t="n">
        <f aca="false" ca="false" dt2D="false" dtr="false" t="normal">SUM(B15:M15)</f>
        <v>35526.73673333334</v>
      </c>
    </row>
    <row outlineLevel="0" r="16">
      <c r="A16" s="5" t="s">
        <v>97</v>
      </c>
      <c r="B16" s="18" t="n">
        <f aca="false" ca="false" dt2D="false" dtr="false" t="normal">B8-B15</f>
        <v>-2146.7969000000003</v>
      </c>
      <c r="C16" s="18" t="n">
        <f aca="false" ca="false" dt2D="false" dtr="false" t="normal">C8-C15</f>
        <v>-2017.3103</v>
      </c>
      <c r="D16" s="18" t="n">
        <f aca="false" ca="false" dt2D="false" dtr="false" t="normal">D8-D15</f>
        <v>-1887.8237</v>
      </c>
      <c r="E16" s="18" t="n">
        <f aca="false" ca="false" dt2D="false" dtr="false" t="normal">E8-E15</f>
        <v>-2123.0804</v>
      </c>
      <c r="F16" s="18" t="n">
        <f aca="false" ca="false" dt2D="false" dtr="false" t="normal">F8-F15</f>
        <v>-2093.5937999999996</v>
      </c>
      <c r="G16" s="18" t="n">
        <f aca="false" ca="false" dt2D="false" dtr="false" t="normal">G8-G15</f>
        <v>-1964.1072000000001</v>
      </c>
      <c r="H16" s="18" t="n">
        <f aca="false" ca="false" dt2D="false" dtr="false" t="normal">H8-H15</f>
        <v>-1834.6206</v>
      </c>
      <c r="I16" s="18" t="n">
        <f aca="false" ca="false" dt2D="false" dtr="false" t="normal">I8-I15</f>
        <v>-1819.8773</v>
      </c>
      <c r="J16" s="18" t="n">
        <f aca="false" ca="false" dt2D="false" dtr="false" t="normal">J8-J15</f>
        <v>-1690.3907</v>
      </c>
      <c r="K16" s="18" t="n">
        <f aca="false" ca="false" dt2D="false" dtr="false" t="normal">K8-K15</f>
        <v>-1610.9040999999997</v>
      </c>
      <c r="L16" s="18" t="n">
        <f aca="false" ca="false" dt2D="false" dtr="false" t="normal">L8-L15</f>
        <v>-1481.4175000000002</v>
      </c>
      <c r="M16" s="18" t="n">
        <f aca="false" ca="false" dt2D="false" dtr="false" t="normal">M8-M15</f>
        <v>-1401.9309</v>
      </c>
      <c r="N16" s="18" t="n">
        <f aca="false" ca="false" dt2D="false" dtr="false" t="normal">SUM(B16:M16)</f>
        <v>-22071.8534</v>
      </c>
    </row>
    <row outlineLevel="0" r="17">
      <c r="A17" s="2" t="s">
        <v>98</v>
      </c>
      <c r="B17" s="4" t="n">
        <f aca="false" ca="false" dt2D="false" dtr="false" t="normal">'Допущения'!$B$9</f>
        <v>12000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8" t="n">
        <f aca="false" ca="false" dt2D="false" dtr="false" t="normal">SUM(B17:M17)</f>
        <v>12000</v>
      </c>
    </row>
    <row outlineLevel="0" r="18">
      <c r="A18" s="2" t="s">
        <v>99</v>
      </c>
      <c r="B18" s="19" t="n">
        <f aca="false" ca="false" dt2D="false" dtr="false" t="normal">B16-B17</f>
        <v>-14146.796900000001</v>
      </c>
      <c r="C18" s="19" t="n">
        <f aca="false" ca="false" dt2D="false" dtr="false" t="normal">C16-C17</f>
        <v>-2017.3103</v>
      </c>
      <c r="D18" s="19" t="n">
        <f aca="false" ca="false" dt2D="false" dtr="false" t="normal">D16-D17</f>
        <v>-1887.8237</v>
      </c>
      <c r="E18" s="19" t="n">
        <f aca="false" ca="false" dt2D="false" dtr="false" t="normal">E16-E17</f>
        <v>-2123.0804</v>
      </c>
      <c r="F18" s="19" t="n">
        <f aca="false" ca="false" dt2D="false" dtr="false" t="normal">F16-F17</f>
        <v>-2093.5937999999996</v>
      </c>
      <c r="G18" s="19" t="n">
        <f aca="false" ca="false" dt2D="false" dtr="false" t="normal">G16-G17</f>
        <v>-1964.1072000000001</v>
      </c>
      <c r="H18" s="19" t="n">
        <f aca="false" ca="false" dt2D="false" dtr="false" t="normal">H16-H17</f>
        <v>-1834.6206</v>
      </c>
      <c r="I18" s="19" t="n">
        <f aca="false" ca="false" dt2D="false" dtr="false" t="normal">I16-I17</f>
        <v>-1819.8773</v>
      </c>
      <c r="J18" s="19" t="n">
        <f aca="false" ca="false" dt2D="false" dtr="false" t="normal">J16-J17</f>
        <v>-1690.3907</v>
      </c>
      <c r="K18" s="19" t="n">
        <f aca="false" ca="false" dt2D="false" dtr="false" t="normal">K16-K17</f>
        <v>-1610.9040999999997</v>
      </c>
      <c r="L18" s="19" t="n">
        <f aca="false" ca="false" dt2D="false" dtr="false" t="normal">L16-L17</f>
        <v>-1481.4175000000002</v>
      </c>
      <c r="M18" s="19" t="n">
        <f aca="false" ca="false" dt2D="false" dtr="false" t="normal">M16-M17</f>
        <v>-1401.9309</v>
      </c>
      <c r="N18" s="18" t="n">
        <f aca="false" ca="false" dt2D="false" dtr="false" t="normal">SUM(B18:M18)</f>
        <v>-34071.8534</v>
      </c>
    </row>
    <row outlineLevel="0" r="19">
      <c r="A19" s="5" t="s">
        <v>100</v>
      </c>
      <c r="B19" s="18" t="n">
        <f aca="false" ca="false" dt2D="false" dtr="false" t="normal">B18</f>
        <v>-14146.796900000001</v>
      </c>
      <c r="C19" s="18" t="n">
        <f aca="false" ca="false" dt2D="false" dtr="false" t="normal">B19+C18</f>
        <v>-16164.107200000002</v>
      </c>
      <c r="D19" s="18" t="n">
        <f aca="false" ca="false" dt2D="false" dtr="false" t="normal">C19+D18</f>
        <v>-18051.930900000003</v>
      </c>
      <c r="E19" s="18" t="n">
        <f aca="false" ca="false" dt2D="false" dtr="false" t="normal">D19+E18</f>
        <v>-20175.011300000002</v>
      </c>
      <c r="F19" s="18" t="n">
        <f aca="false" ca="false" dt2D="false" dtr="false" t="normal">E19+F18</f>
        <v>-22268.6051</v>
      </c>
      <c r="G19" s="18" t="n">
        <f aca="false" ca="false" dt2D="false" dtr="false" t="normal">F19+G18</f>
        <v>-24232.7123</v>
      </c>
      <c r="H19" s="18" t="n">
        <f aca="false" ca="false" dt2D="false" dtr="false" t="normal">G19+H18</f>
        <v>-26067.332899999998</v>
      </c>
      <c r="I19" s="18" t="n">
        <f aca="false" ca="false" dt2D="false" dtr="false" t="normal">H19+I18</f>
        <v>-27887.210199999998</v>
      </c>
      <c r="J19" s="18" t="n">
        <f aca="false" ca="false" dt2D="false" dtr="false" t="normal">I19+J18</f>
        <v>-29577.600899999998</v>
      </c>
      <c r="K19" s="18" t="n">
        <f aca="false" ca="false" dt2D="false" dtr="false" t="normal">J19+K18</f>
        <v>-31188.504999999997</v>
      </c>
      <c r="L19" s="18" t="n">
        <f aca="false" ca="false" dt2D="false" dtr="false" t="normal">K19+L18</f>
        <v>-32669.922499999997</v>
      </c>
      <c r="M19" s="18" t="n">
        <f aca="false" ca="false" dt2D="false" dtr="false" t="normal">L19+M18</f>
        <v>-34071.8534</v>
      </c>
      <c r="N19" s="18" t="n">
        <f aca="false" ca="false" dt2D="false" dtr="false" t="normal">M19</f>
        <v>-34071.8534</v>
      </c>
    </row>
    <row outlineLevel="0" r="20">
      <c r="A20" s="2" t="s">
        <v>101</v>
      </c>
      <c r="B20" s="12" t="n">
        <f aca="false" ca="false" dt2D="false" dtr="false" t="normal">IF(B16&gt;=0, 1, 0)</f>
        <v>0</v>
      </c>
      <c r="C20" s="12" t="n">
        <f aca="false" ca="false" dt2D="false" dtr="false" t="normal">IF(C16&gt;=0, 1, 0)</f>
        <v>0</v>
      </c>
      <c r="D20" s="12" t="n">
        <f aca="false" ca="false" dt2D="false" dtr="false" t="normal">IF(D16&gt;=0, 1, 0)</f>
        <v>0</v>
      </c>
      <c r="E20" s="12" t="n">
        <f aca="false" ca="false" dt2D="false" dtr="false" t="normal">IF(E16&gt;=0, 1, 0)</f>
        <v>0</v>
      </c>
      <c r="F20" s="12" t="n">
        <f aca="false" ca="false" dt2D="false" dtr="false" t="normal">IF(F16&gt;=0, 1, 0)</f>
        <v>0</v>
      </c>
      <c r="G20" s="12" t="n">
        <f aca="false" ca="false" dt2D="false" dtr="false" t="normal">IF(G16&gt;=0, 1, 0)</f>
        <v>0</v>
      </c>
      <c r="H20" s="12" t="n">
        <f aca="false" ca="false" dt2D="false" dtr="false" t="normal">IF(H16&gt;=0, 1, 0)</f>
        <v>0</v>
      </c>
      <c r="I20" s="12" t="n">
        <f aca="false" ca="false" dt2D="false" dtr="false" t="normal">IF(I16&gt;=0, 1, 0)</f>
        <v>0</v>
      </c>
      <c r="J20" s="12" t="n">
        <f aca="false" ca="false" dt2D="false" dtr="false" t="normal">IF(J16&gt;=0, 1, 0)</f>
        <v>0</v>
      </c>
      <c r="K20" s="12" t="n">
        <f aca="false" ca="false" dt2D="false" dtr="false" t="normal">IF(K16&gt;=0, 1, 0)</f>
        <v>0</v>
      </c>
      <c r="L20" s="12" t="n">
        <f aca="false" ca="false" dt2D="false" dtr="false" t="normal">IF(L16&gt;=0, 1, 0)</f>
        <v>0</v>
      </c>
      <c r="M20" s="12" t="n">
        <f aca="false" ca="false" dt2D="false" dtr="false" t="normal">IF(M16&gt;=0, 1, 0)</f>
        <v>0</v>
      </c>
    </row>
    <row outlineLevel="0" r="21">
      <c r="A21" s="2" t="s">
        <v>102</v>
      </c>
      <c r="B21" s="12" t="n">
        <f aca="false" ca="false" dt2D="false" dtr="false" t="normal">IF(B19&gt;=0, 1, 0)</f>
        <v>0</v>
      </c>
      <c r="C21" s="12" t="n">
        <f aca="false" ca="false" dt2D="false" dtr="false" t="normal">IF(C19&gt;=0, 1, 0)</f>
        <v>0</v>
      </c>
      <c r="D21" s="12" t="n">
        <f aca="false" ca="false" dt2D="false" dtr="false" t="normal">IF(D19&gt;=0, 1, 0)</f>
        <v>0</v>
      </c>
      <c r="E21" s="12" t="n">
        <f aca="false" ca="false" dt2D="false" dtr="false" t="normal">IF(E19&gt;=0, 1, 0)</f>
        <v>0</v>
      </c>
      <c r="F21" s="12" t="n">
        <f aca="false" ca="false" dt2D="false" dtr="false" t="normal">IF(F19&gt;=0, 1, 0)</f>
        <v>0</v>
      </c>
      <c r="G21" s="12" t="n">
        <f aca="false" ca="false" dt2D="false" dtr="false" t="normal">IF(G19&gt;=0, 1, 0)</f>
        <v>0</v>
      </c>
      <c r="H21" s="12" t="n">
        <f aca="false" ca="false" dt2D="false" dtr="false" t="normal">IF(H19&gt;=0, 1, 0)</f>
        <v>0</v>
      </c>
      <c r="I21" s="12" t="n">
        <f aca="false" ca="false" dt2D="false" dtr="false" t="normal">IF(I19&gt;=0, 1, 0)</f>
        <v>0</v>
      </c>
      <c r="J21" s="12" t="n">
        <f aca="false" ca="false" dt2D="false" dtr="false" t="normal">IF(J19&gt;=0, 1, 0)</f>
        <v>0</v>
      </c>
      <c r="K21" s="12" t="n">
        <f aca="false" ca="false" dt2D="false" dtr="false" t="normal">IF(K19&gt;=0, 1, 0)</f>
        <v>0</v>
      </c>
      <c r="L21" s="12" t="n">
        <f aca="false" ca="false" dt2D="false" dtr="false" t="normal">IF(L19&gt;=0, 1, 0)</f>
        <v>0</v>
      </c>
      <c r="M21" s="12" t="n">
        <f aca="false" ca="false" dt2D="false" dtr="false" t="normal">IF(M19&gt;=0, 1, 0)</f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N21"/>
  <sheetViews>
    <sheetView showZeros="true" workbookViewId="0">
      <pane activePane="bottomRight" state="frozen" topLeftCell="B4" xSplit="1" ySplit="3"/>
    </sheetView>
  </sheetViews>
  <sheetFormatPr baseColWidth="8" customHeight="false" defaultColWidth="9.14062530925693" defaultRowHeight="15" zeroHeight="false"/>
  <cols>
    <col customWidth="true" max="1" min="1" outlineLevel="0" width="33.9999989850029"/>
    <col customWidth="true" max="14" min="2" outlineLevel="0" width="10.9999998308338"/>
  </cols>
  <sheetData>
    <row outlineLevel="0" r="1">
      <c r="A1" s="1" t="s">
        <v>103</v>
      </c>
    </row>
    <row outlineLevel="0" r="2">
      <c r="A2" s="2" t="s">
        <v>71</v>
      </c>
    </row>
    <row outlineLevel="0" r="3">
      <c r="A3" s="3" t="s">
        <v>2</v>
      </c>
      <c r="B3" s="3" t="s">
        <v>72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  <c r="H3" s="3" t="s">
        <v>78</v>
      </c>
      <c r="I3" s="3" t="s">
        <v>79</v>
      </c>
      <c r="J3" s="3" t="s">
        <v>80</v>
      </c>
      <c r="K3" s="3" t="s">
        <v>81</v>
      </c>
      <c r="L3" s="3" t="s">
        <v>82</v>
      </c>
      <c r="M3" s="3" t="s">
        <v>83</v>
      </c>
      <c r="N3" s="3" t="s">
        <v>84</v>
      </c>
    </row>
    <row outlineLevel="0" r="4">
      <c r="A4" s="2" t="s">
        <v>85</v>
      </c>
      <c r="B4" s="4" t="n">
        <f aca="false" ca="false" dt2D="false" dtr="false" t="normal">'Допущения'!C21</f>
        <v>500</v>
      </c>
      <c r="C4" s="4" t="n">
        <f aca="false" ca="false" dt2D="false" dtr="false" t="normal">'Допущения'!C22</f>
        <v>130</v>
      </c>
      <c r="D4" s="4" t="n">
        <f aca="false" ca="false" dt2D="false" dtr="false" t="normal">'Допущения'!C23</f>
        <v>130</v>
      </c>
      <c r="E4" s="4" t="n">
        <f aca="false" ca="false" dt2D="false" dtr="false" t="normal">'Допущения'!C24</f>
        <v>150</v>
      </c>
      <c r="F4" s="4" t="n">
        <f aca="false" ca="false" dt2D="false" dtr="false" t="normal">'Допущения'!C25</f>
        <v>160</v>
      </c>
      <c r="G4" s="4" t="n">
        <f aca="false" ca="false" dt2D="false" dtr="false" t="normal">'Допущения'!C26</f>
        <v>160</v>
      </c>
      <c r="H4" s="4" t="n">
        <f aca="false" ca="false" dt2D="false" dtr="false" t="normal">'Допущения'!C27</f>
        <v>130</v>
      </c>
      <c r="I4" s="4" t="n">
        <f aca="false" ca="false" dt2D="false" dtr="false" t="normal">'Допущения'!C28</f>
        <v>150</v>
      </c>
      <c r="J4" s="4" t="n">
        <f aca="false" ca="false" dt2D="false" dtr="false" t="normal">'Допущения'!C29</f>
        <v>150</v>
      </c>
      <c r="K4" s="4" t="n">
        <f aca="false" ca="false" dt2D="false" dtr="false" t="normal">'Допущения'!C30</f>
        <v>170</v>
      </c>
      <c r="L4" s="4" t="n">
        <f aca="false" ca="false" dt2D="false" dtr="false" t="normal">'Допущения'!C31</f>
        <v>180</v>
      </c>
      <c r="M4" s="4" t="n">
        <f aca="false" ca="false" dt2D="false" dtr="false" t="normal">'Допущения'!C32</f>
        <v>190</v>
      </c>
      <c r="N4" s="18" t="n">
        <f aca="false" ca="false" dt2D="false" dtr="false" t="normal">SUM(B4:M4)</f>
        <v>2200</v>
      </c>
    </row>
    <row outlineLevel="0" r="5">
      <c r="A5" s="2" t="s">
        <v>86</v>
      </c>
      <c r="B5" s="19" t="n">
        <f aca="false" ca="false" dt2D="false" dtr="false" t="normal">B4</f>
        <v>500</v>
      </c>
      <c r="C5" s="19" t="n">
        <f aca="false" ca="false" dt2D="false" dtr="false" t="normal">B5+C4</f>
        <v>630</v>
      </c>
      <c r="D5" s="19" t="n">
        <f aca="false" ca="false" dt2D="false" dtr="false" t="normal">C5+D4</f>
        <v>760</v>
      </c>
      <c r="E5" s="19" t="n">
        <f aca="false" ca="false" dt2D="false" dtr="false" t="normal">D5+E4</f>
        <v>910</v>
      </c>
      <c r="F5" s="19" t="n">
        <f aca="false" ca="false" dt2D="false" dtr="false" t="normal">E5+F4</f>
        <v>1070</v>
      </c>
      <c r="G5" s="19" t="n">
        <f aca="false" ca="false" dt2D="false" dtr="false" t="normal">F5+G4</f>
        <v>1230</v>
      </c>
      <c r="H5" s="19" t="n">
        <f aca="false" ca="false" dt2D="false" dtr="false" t="normal">G5+H4</f>
        <v>1360</v>
      </c>
      <c r="I5" s="19" t="n">
        <f aca="false" ca="false" dt2D="false" dtr="false" t="normal">H5+I4</f>
        <v>1510</v>
      </c>
      <c r="J5" s="19" t="n">
        <f aca="false" ca="false" dt2D="false" dtr="false" t="normal">I5+J4</f>
        <v>1660</v>
      </c>
      <c r="K5" s="19" t="n">
        <f aca="false" ca="false" dt2D="false" dtr="false" t="normal">J5+K4</f>
        <v>1830</v>
      </c>
      <c r="L5" s="19" t="n">
        <f aca="false" ca="false" dt2D="false" dtr="false" t="normal">K5+L4</f>
        <v>2010</v>
      </c>
      <c r="M5" s="19" t="n">
        <f aca="false" ca="false" dt2D="false" dtr="false" t="normal">L5+M4</f>
        <v>2200</v>
      </c>
      <c r="N5" s="18" t="n">
        <f aca="false" ca="false" dt2D="false" dtr="false" t="normal">M5</f>
        <v>2200</v>
      </c>
    </row>
    <row outlineLevel="0" r="6">
      <c r="A6" s="2" t="s">
        <v>87</v>
      </c>
      <c r="B6" s="19" t="n">
        <f aca="false" ca="false" dt2D="false" dtr="false" t="normal">ROUND(B5*'Допущения'!C14, 0)</f>
        <v>200</v>
      </c>
      <c r="C6" s="19" t="n">
        <f aca="false" ca="false" dt2D="false" dtr="false" t="normal">ROUND(C5*'Допущения'!C14, 0)</f>
        <v>252</v>
      </c>
      <c r="D6" s="19" t="n">
        <f aca="false" ca="false" dt2D="false" dtr="false" t="normal">ROUND(D5*'Допущения'!C14, 0)</f>
        <v>304</v>
      </c>
      <c r="E6" s="19" t="n">
        <f aca="false" ca="false" dt2D="false" dtr="false" t="normal">ROUND(E5*'Допущения'!C14, 0)</f>
        <v>364</v>
      </c>
      <c r="F6" s="19" t="n">
        <f aca="false" ca="false" dt2D="false" dtr="false" t="normal">ROUND(F5*'Допущения'!C14, 0)</f>
        <v>428</v>
      </c>
      <c r="G6" s="19" t="n">
        <f aca="false" ca="false" dt2D="false" dtr="false" t="normal">ROUND(G5*'Допущения'!C14, 0)</f>
        <v>492</v>
      </c>
      <c r="H6" s="19" t="n">
        <f aca="false" ca="false" dt2D="false" dtr="false" t="normal">ROUND(H5*'Допущения'!C14, 0)</f>
        <v>544</v>
      </c>
      <c r="I6" s="19" t="n">
        <f aca="false" ca="false" dt2D="false" dtr="false" t="normal">ROUND(I5*'Допущения'!C14, 0)</f>
        <v>604</v>
      </c>
      <c r="J6" s="19" t="n">
        <f aca="false" ca="false" dt2D="false" dtr="false" t="normal">ROUND(J5*'Допущения'!C14, 0)</f>
        <v>664</v>
      </c>
      <c r="K6" s="19" t="n">
        <f aca="false" ca="false" dt2D="false" dtr="false" t="normal">ROUND(K5*'Допущения'!C14, 0)</f>
        <v>732</v>
      </c>
      <c r="L6" s="19" t="n">
        <f aca="false" ca="false" dt2D="false" dtr="false" t="normal">ROUND(L5*'Допущения'!C14, 0)</f>
        <v>804</v>
      </c>
      <c r="M6" s="19" t="n">
        <f aca="false" ca="false" dt2D="false" dtr="false" t="normal">ROUND(M5*'Допущения'!C14, 0)</f>
        <v>880</v>
      </c>
      <c r="N6" s="18" t="n">
        <f aca="false" ca="false" dt2D="false" dtr="false" t="normal">M6</f>
        <v>880</v>
      </c>
    </row>
    <row outlineLevel="0" r="7">
      <c r="A7" s="2" t="s">
        <v>88</v>
      </c>
      <c r="B7" s="19" t="n">
        <f aca="false" ca="false" dt2D="false" dtr="false" t="normal">ROUND(B6*'Допущения'!C15, 0)</f>
        <v>30</v>
      </c>
      <c r="C7" s="19" t="n">
        <f aca="false" ca="false" dt2D="false" dtr="false" t="normal">ROUND(C6*'Допущения'!C15, 0)</f>
        <v>38</v>
      </c>
      <c r="D7" s="19" t="n">
        <f aca="false" ca="false" dt2D="false" dtr="false" t="normal">ROUND(D6*'Допущения'!C15, 0)</f>
        <v>46</v>
      </c>
      <c r="E7" s="19" t="n">
        <f aca="false" ca="false" dt2D="false" dtr="false" t="normal">ROUND(E6*'Допущения'!C15, 0)</f>
        <v>55</v>
      </c>
      <c r="F7" s="19" t="n">
        <f aca="false" ca="false" dt2D="false" dtr="false" t="normal">ROUND(F6*'Допущения'!C15, 0)</f>
        <v>64</v>
      </c>
      <c r="G7" s="19" t="n">
        <f aca="false" ca="false" dt2D="false" dtr="false" t="normal">ROUND(G6*'Допущения'!C15, 0)</f>
        <v>74</v>
      </c>
      <c r="H7" s="19" t="n">
        <f aca="false" ca="false" dt2D="false" dtr="false" t="normal">ROUND(H6*'Допущения'!C15, 0)</f>
        <v>82</v>
      </c>
      <c r="I7" s="19" t="n">
        <f aca="false" ca="false" dt2D="false" dtr="false" t="normal">ROUND(I6*'Допущения'!C15, 0)</f>
        <v>91</v>
      </c>
      <c r="J7" s="19" t="n">
        <f aca="false" ca="false" dt2D="false" dtr="false" t="normal">ROUND(J6*'Допущения'!C15, 0)</f>
        <v>100</v>
      </c>
      <c r="K7" s="19" t="n">
        <f aca="false" ca="false" dt2D="false" dtr="false" t="normal">ROUND(K6*'Допущения'!C15, 0)</f>
        <v>110.00000000000001</v>
      </c>
      <c r="L7" s="19" t="n">
        <f aca="false" ca="false" dt2D="false" dtr="false" t="normal">ROUND(L6*'Допущения'!C15, 0)</f>
        <v>121</v>
      </c>
      <c r="M7" s="19" t="n">
        <f aca="false" ca="false" dt2D="false" dtr="false" t="normal">ROUND(M6*'Допущения'!C15, 0)</f>
        <v>132</v>
      </c>
      <c r="N7" s="18" t="n">
        <f aca="false" ca="false" dt2D="false" dtr="false" t="normal">M7</f>
        <v>132</v>
      </c>
    </row>
    <row outlineLevel="0" r="8">
      <c r="A8" s="5" t="s">
        <v>89</v>
      </c>
      <c r="B8" s="18" t="n">
        <f aca="false" ca="false" dt2D="false" dtr="false" t="normal">B7*'Допущения'!$B$7</f>
        <v>1998.25</v>
      </c>
      <c r="C8" s="18" t="n">
        <f aca="false" ca="false" dt2D="false" dtr="false" t="normal">C7*'Допущения'!$B$7</f>
        <v>2531.116666666667</v>
      </c>
      <c r="D8" s="18" t="n">
        <f aca="false" ca="false" dt2D="false" dtr="false" t="normal">D7*'Допущения'!$B$7</f>
        <v>3063.9833333333336</v>
      </c>
      <c r="E8" s="18" t="n">
        <f aca="false" ca="false" dt2D="false" dtr="false" t="normal">E7*'Допущения'!$B$7</f>
        <v>3663.4583333333335</v>
      </c>
      <c r="F8" s="18" t="n">
        <f aca="false" ca="false" dt2D="false" dtr="false" t="normal">F7*'Допущения'!$B$7</f>
        <v>4262.933333333333</v>
      </c>
      <c r="G8" s="18" t="n">
        <f aca="false" ca="false" dt2D="false" dtr="false" t="normal">G7*'Допущения'!$B$7</f>
        <v>4929.016666666666</v>
      </c>
      <c r="H8" s="18" t="n">
        <f aca="false" ca="false" dt2D="false" dtr="false" t="normal">H7*'Допущения'!$B$7</f>
        <v>5461.883333333333</v>
      </c>
      <c r="I8" s="18" t="n">
        <f aca="false" ca="false" dt2D="false" dtr="false" t="normal">I7*'Допущения'!$B$7</f>
        <v>6061.358333333334</v>
      </c>
      <c r="J8" s="18" t="n">
        <f aca="false" ca="false" dt2D="false" dtr="false" t="normal">J7*'Допущения'!$B$7</f>
        <v>6660.833333333333</v>
      </c>
      <c r="K8" s="18" t="n">
        <f aca="false" ca="false" dt2D="false" dtr="false" t="normal">K7*'Допущения'!$B$7</f>
        <v>7326.916666666668</v>
      </c>
      <c r="L8" s="18" t="n">
        <f aca="false" ca="false" dt2D="false" dtr="false" t="normal">L7*'Допущения'!$B$7</f>
        <v>8059.608333333334</v>
      </c>
      <c r="M8" s="18" t="n">
        <f aca="false" ca="false" dt2D="false" dtr="false" t="normal">M7*'Допущения'!$B$7</f>
        <v>8792.3</v>
      </c>
      <c r="N8" s="18" t="n">
        <f aca="false" ca="false" dt2D="false" dtr="false" t="normal">SUM(B8:M8)</f>
        <v>62811.65833333334</v>
      </c>
    </row>
    <row outlineLevel="0" r="9">
      <c r="A9" s="11" t="s">
        <v>90</v>
      </c>
    </row>
    <row outlineLevel="0" r="10">
      <c r="A10" s="2" t="s">
        <v>91</v>
      </c>
      <c r="B10" s="4" t="n">
        <f aca="false" ca="false" dt2D="false" dtr="false" t="normal">'Допущения'!$B$10</f>
        <v>500</v>
      </c>
      <c r="C10" s="4" t="n">
        <f aca="false" ca="false" dt2D="false" dtr="false" t="normal">'Допущения'!$B$10</f>
        <v>500</v>
      </c>
      <c r="D10" s="4" t="n">
        <f aca="false" ca="false" dt2D="false" dtr="false" t="normal">'Допущения'!$B$10</f>
        <v>500</v>
      </c>
      <c r="E10" s="4" t="n">
        <f aca="false" ca="false" dt2D="false" dtr="false" t="normal">'Допущения'!$B$10</f>
        <v>500</v>
      </c>
      <c r="F10" s="4" t="n">
        <f aca="false" ca="false" dt2D="false" dtr="false" t="normal">'Допущения'!$B$10</f>
        <v>500</v>
      </c>
      <c r="G10" s="4" t="n">
        <f aca="false" ca="false" dt2D="false" dtr="false" t="normal">'Допущения'!$B$10</f>
        <v>500</v>
      </c>
      <c r="H10" s="4" t="n">
        <f aca="false" ca="false" dt2D="false" dtr="false" t="normal">'Допущения'!$B$10</f>
        <v>500</v>
      </c>
      <c r="I10" s="4" t="n">
        <f aca="false" ca="false" dt2D="false" dtr="false" t="normal">'Допущения'!$B$10</f>
        <v>500</v>
      </c>
      <c r="J10" s="4" t="n">
        <f aca="false" ca="false" dt2D="false" dtr="false" t="normal">'Допущения'!$B$10</f>
        <v>500</v>
      </c>
      <c r="K10" s="4" t="n">
        <f aca="false" ca="false" dt2D="false" dtr="false" t="normal">'Допущения'!$B$10</f>
        <v>500</v>
      </c>
      <c r="L10" s="4" t="n">
        <f aca="false" ca="false" dt2D="false" dtr="false" t="normal">'Допущения'!$B$10</f>
        <v>500</v>
      </c>
      <c r="M10" s="4" t="n">
        <f aca="false" ca="false" dt2D="false" dtr="false" t="normal">'Допущения'!$B$10</f>
        <v>500</v>
      </c>
      <c r="N10" s="18" t="n">
        <f aca="false" ca="false" dt2D="false" dtr="false" t="normal">SUM(B10:M10)</f>
        <v>6000</v>
      </c>
    </row>
    <row outlineLevel="0" r="11">
      <c r="A11" s="2" t="s">
        <v>92</v>
      </c>
      <c r="B11" s="19" t="n">
        <f aca="false" ca="false" dt2D="false" dtr="false" t="normal">IF(1&lt;=3, 'Допущения'!$B$11, 'Допущения'!C16)</f>
        <v>2000</v>
      </c>
      <c r="C11" s="19" t="n">
        <f aca="false" ca="false" dt2D="false" dtr="false" t="normal">IF(2&lt;=3, 'Допущения'!$B$11, 'Допущения'!C16)</f>
        <v>2000</v>
      </c>
      <c r="D11" s="19" t="n">
        <f aca="false" ca="false" dt2D="false" dtr="false" t="normal">IF(3&lt;=3, 'Допущения'!$B$11, 'Допущения'!C16)</f>
        <v>2000</v>
      </c>
      <c r="E11" s="19" t="n">
        <f aca="false" ca="false" dt2D="false" dtr="false" t="normal">IF(4&lt;=3, 'Допущения'!$B$11, 'Допущения'!C16)</f>
        <v>3000</v>
      </c>
      <c r="F11" s="19" t="n">
        <f aca="false" ca="false" dt2D="false" dtr="false" t="normal">IF(5&lt;=3, 'Допущения'!$B$11, 'Допущения'!C16)</f>
        <v>3000</v>
      </c>
      <c r="G11" s="19" t="n">
        <f aca="false" ca="false" dt2D="false" dtr="false" t="normal">IF(6&lt;=3, 'Допущения'!$B$11, 'Допущения'!C16)</f>
        <v>3000</v>
      </c>
      <c r="H11" s="19" t="n">
        <f aca="false" ca="false" dt2D="false" dtr="false" t="normal">IF(7&lt;=3, 'Допущения'!$B$11, 'Допущения'!C16)</f>
        <v>3000</v>
      </c>
      <c r="I11" s="19" t="n">
        <f aca="false" ca="false" dt2D="false" dtr="false" t="normal">IF(8&lt;=3, 'Допущения'!$B$11, 'Допущения'!C16)</f>
        <v>3000</v>
      </c>
      <c r="J11" s="19" t="n">
        <f aca="false" ca="false" dt2D="false" dtr="false" t="normal">IF(9&lt;=3, 'Допущения'!$B$11, 'Допущения'!C16)</f>
        <v>3000</v>
      </c>
      <c r="K11" s="19" t="n">
        <f aca="false" ca="false" dt2D="false" dtr="false" t="normal">IF(10&lt;=3, 'Допущения'!$B$11, 'Допущения'!C16)</f>
        <v>3000</v>
      </c>
      <c r="L11" s="19" t="n">
        <f aca="false" ca="false" dt2D="false" dtr="false" t="normal">IF(11&lt;=3, 'Допущения'!$B$11, 'Допущения'!C16)</f>
        <v>3000</v>
      </c>
      <c r="M11" s="19" t="n">
        <f aca="false" ca="false" dt2D="false" dtr="false" t="normal">IF(12&lt;=3, 'Допущения'!$B$11, 'Допущения'!C16)</f>
        <v>3000</v>
      </c>
      <c r="N11" s="18" t="n">
        <f aca="false" ca="false" dt2D="false" dtr="false" t="normal">SUM(B11:M11)</f>
        <v>33000</v>
      </c>
    </row>
    <row outlineLevel="0" r="12">
      <c r="A12" s="2" t="s">
        <v>93</v>
      </c>
      <c r="B12" s="4" t="n">
        <f aca="false" ca="false" dt2D="false" dtr="false" t="normal">'Допущения'!B36</f>
        <v>100</v>
      </c>
      <c r="C12" s="4" t="n">
        <f aca="false" ca="false" dt2D="false" dtr="false" t="normal">'Допущения'!B37</f>
        <v>100</v>
      </c>
      <c r="D12" s="4" t="n">
        <f aca="false" ca="false" dt2D="false" dtr="false" t="normal">'Допущения'!B38</f>
        <v>100</v>
      </c>
      <c r="E12" s="4" t="n">
        <f aca="false" ca="false" dt2D="false" dtr="false" t="normal">'Допущения'!B39</f>
        <v>200</v>
      </c>
      <c r="F12" s="4" t="n">
        <f aca="false" ca="false" dt2D="false" dtr="false" t="normal">'Допущения'!B40</f>
        <v>200</v>
      </c>
      <c r="G12" s="4" t="n">
        <f aca="false" ca="false" dt2D="false" dtr="false" t="normal">'Допущения'!B41</f>
        <v>200</v>
      </c>
      <c r="H12" s="4" t="n">
        <f aca="false" ca="false" dt2D="false" dtr="false" t="normal">'Допущения'!B42</f>
        <v>200</v>
      </c>
      <c r="I12" s="4" t="n">
        <f aca="false" ca="false" dt2D="false" dtr="false" t="normal">'Допущения'!B43</f>
        <v>250</v>
      </c>
      <c r="J12" s="4" t="n">
        <f aca="false" ca="false" dt2D="false" dtr="false" t="normal">'Допущения'!B44</f>
        <v>250</v>
      </c>
      <c r="K12" s="4" t="n">
        <f aca="false" ca="false" dt2D="false" dtr="false" t="normal">'Допущения'!B45</f>
        <v>300</v>
      </c>
      <c r="L12" s="4" t="n">
        <f aca="false" ca="false" dt2D="false" dtr="false" t="normal">'Допущения'!B46</f>
        <v>300</v>
      </c>
      <c r="M12" s="4" t="n">
        <f aca="false" ca="false" dt2D="false" dtr="false" t="normal">'Допущения'!B47</f>
        <v>350</v>
      </c>
      <c r="N12" s="18" t="n">
        <f aca="false" ca="false" dt2D="false" dtr="false" t="normal">SUM(B12:M12)</f>
        <v>2550</v>
      </c>
    </row>
    <row outlineLevel="0" r="13">
      <c r="A13" s="2" t="s">
        <v>94</v>
      </c>
      <c r="B13" s="4" t="n">
        <f aca="false" ca="false" dt2D="false" dtr="false" t="normal">'Допущения'!C36</f>
        <v>0</v>
      </c>
      <c r="C13" s="4" t="n">
        <f aca="false" ca="false" dt2D="false" dtr="false" t="normal">'Допущения'!C37</f>
        <v>0</v>
      </c>
      <c r="D13" s="4" t="n">
        <f aca="false" ca="false" dt2D="false" dtr="false" t="normal">'Допущения'!C38</f>
        <v>0</v>
      </c>
      <c r="E13" s="4" t="n">
        <f aca="false" ca="false" dt2D="false" dtr="false" t="normal">'Допущения'!C39</f>
        <v>200</v>
      </c>
      <c r="F13" s="4" t="n">
        <f aca="false" ca="false" dt2D="false" dtr="false" t="normal">'Допущения'!C40</f>
        <v>300</v>
      </c>
      <c r="G13" s="4" t="n">
        <f aca="false" ca="false" dt2D="false" dtr="false" t="normal">'Допущения'!C41</f>
        <v>300</v>
      </c>
      <c r="H13" s="4" t="n">
        <f aca="false" ca="false" dt2D="false" dtr="false" t="normal">'Допущения'!C42</f>
        <v>300</v>
      </c>
      <c r="I13" s="4" t="n">
        <f aca="false" ca="false" dt2D="false" dtr="false" t="normal">'Допущения'!C43</f>
        <v>300</v>
      </c>
      <c r="J13" s="4" t="n">
        <f aca="false" ca="false" dt2D="false" dtr="false" t="normal">'Допущения'!C44</f>
        <v>300</v>
      </c>
      <c r="K13" s="4" t="n">
        <f aca="false" ca="false" dt2D="false" dtr="false" t="normal">'Допущения'!C45</f>
        <v>300</v>
      </c>
      <c r="L13" s="4" t="n">
        <f aca="false" ca="false" dt2D="false" dtr="false" t="normal">'Допущения'!C46</f>
        <v>300</v>
      </c>
      <c r="M13" s="4" t="n">
        <f aca="false" ca="false" dt2D="false" dtr="false" t="normal">'Допущения'!C47</f>
        <v>300</v>
      </c>
      <c r="N13" s="18" t="n">
        <f aca="false" ca="false" dt2D="false" dtr="false" t="normal">SUM(B13:M13)</f>
        <v>2600</v>
      </c>
    </row>
    <row outlineLevel="0" r="14">
      <c r="A14" s="2" t="s">
        <v>95</v>
      </c>
      <c r="B14" s="19" t="n">
        <f aca="false" ca="false" dt2D="false" dtr="false" t="normal">B8*'Допущения'!$B$8</f>
        <v>55.951</v>
      </c>
      <c r="C14" s="19" t="n">
        <f aca="false" ca="false" dt2D="false" dtr="false" t="normal">C8*'Допущения'!$B$8</f>
        <v>70.87126666666667</v>
      </c>
      <c r="D14" s="19" t="n">
        <f aca="false" ca="false" dt2D="false" dtr="false" t="normal">D8*'Допущения'!$B$8</f>
        <v>85.79153333333335</v>
      </c>
      <c r="E14" s="19" t="n">
        <f aca="false" ca="false" dt2D="false" dtr="false" t="normal">E8*'Допущения'!$B$8</f>
        <v>102.57683333333334</v>
      </c>
      <c r="F14" s="19" t="n">
        <f aca="false" ca="false" dt2D="false" dtr="false" t="normal">F8*'Допущения'!$B$8</f>
        <v>119.36213333333333</v>
      </c>
      <c r="G14" s="19" t="n">
        <f aca="false" ca="false" dt2D="false" dtr="false" t="normal">G8*'Допущения'!$B$8</f>
        <v>138.01246666666665</v>
      </c>
      <c r="H14" s="19" t="n">
        <f aca="false" ca="false" dt2D="false" dtr="false" t="normal">H8*'Допущения'!$B$8</f>
        <v>152.93273333333335</v>
      </c>
      <c r="I14" s="19" t="n">
        <f aca="false" ca="false" dt2D="false" dtr="false" t="normal">I8*'Допущения'!$B$8</f>
        <v>169.71803333333335</v>
      </c>
      <c r="J14" s="19" t="n">
        <f aca="false" ca="false" dt2D="false" dtr="false" t="normal">J8*'Допущения'!$B$8</f>
        <v>186.50333333333333</v>
      </c>
      <c r="K14" s="19" t="n">
        <f aca="false" ca="false" dt2D="false" dtr="false" t="normal">K8*'Допущения'!$B$8</f>
        <v>205.1536666666667</v>
      </c>
      <c r="L14" s="19" t="n">
        <f aca="false" ca="false" dt2D="false" dtr="false" t="normal">L8*'Допущения'!$B$8</f>
        <v>225.66903333333335</v>
      </c>
      <c r="M14" s="19" t="n">
        <f aca="false" ca="false" dt2D="false" dtr="false" t="normal">M8*'Допущения'!$B$8</f>
        <v>246.18439999999998</v>
      </c>
      <c r="N14" s="18" t="n">
        <f aca="false" ca="false" dt2D="false" dtr="false" t="normal">SUM(B14:M14)</f>
        <v>1758.7264333333333</v>
      </c>
    </row>
    <row outlineLevel="0" r="15">
      <c r="A15" s="5" t="s">
        <v>96</v>
      </c>
      <c r="B15" s="18" t="n">
        <f aca="false" ca="false" dt2D="false" dtr="false" t="normal">SUM(B10:B14)</f>
        <v>2655.951</v>
      </c>
      <c r="C15" s="18" t="n">
        <f aca="false" ca="false" dt2D="false" dtr="false" t="normal">SUM(C10:C14)</f>
        <v>2670.8712666666665</v>
      </c>
      <c r="D15" s="18" t="n">
        <f aca="false" ca="false" dt2D="false" dtr="false" t="normal">SUM(D10:D14)</f>
        <v>2685.7915333333335</v>
      </c>
      <c r="E15" s="18" t="n">
        <f aca="false" ca="false" dt2D="false" dtr="false" t="normal">SUM(E10:E14)</f>
        <v>4002.5768333333335</v>
      </c>
      <c r="F15" s="18" t="n">
        <f aca="false" ca="false" dt2D="false" dtr="false" t="normal">SUM(F10:F14)</f>
        <v>4119.362133333333</v>
      </c>
      <c r="G15" s="18" t="n">
        <f aca="false" ca="false" dt2D="false" dtr="false" t="normal">SUM(G10:G14)</f>
        <v>4138.012466666667</v>
      </c>
      <c r="H15" s="18" t="n">
        <f aca="false" ca="false" dt2D="false" dtr="false" t="normal">SUM(H10:H14)</f>
        <v>4152.932733333333</v>
      </c>
      <c r="I15" s="18" t="n">
        <f aca="false" ca="false" dt2D="false" dtr="false" t="normal">SUM(I10:I14)</f>
        <v>4219.718033333334</v>
      </c>
      <c r="J15" s="18" t="n">
        <f aca="false" ca="false" dt2D="false" dtr="false" t="normal">SUM(J10:J14)</f>
        <v>4236.503333333333</v>
      </c>
      <c r="K15" s="18" t="n">
        <f aca="false" ca="false" dt2D="false" dtr="false" t="normal">SUM(K10:K14)</f>
        <v>4305.153666666667</v>
      </c>
      <c r="L15" s="18" t="n">
        <f aca="false" ca="false" dt2D="false" dtr="false" t="normal">SUM(L10:L14)</f>
        <v>4325.669033333334</v>
      </c>
      <c r="M15" s="18" t="n">
        <f aca="false" ca="false" dt2D="false" dtr="false" t="normal">SUM(M10:M14)</f>
        <v>4396.1844</v>
      </c>
      <c r="N15" s="18" t="n">
        <f aca="false" ca="false" dt2D="false" dtr="false" t="normal">SUM(B15:M15)</f>
        <v>45908.72643333332</v>
      </c>
    </row>
    <row outlineLevel="0" r="16">
      <c r="A16" s="5" t="s">
        <v>97</v>
      </c>
      <c r="B16" s="18" t="n">
        <f aca="false" ca="false" dt2D="false" dtr="false" t="normal">B8-B15</f>
        <v>-657.701</v>
      </c>
      <c r="C16" s="18" t="n">
        <f aca="false" ca="false" dt2D="false" dtr="false" t="normal">C8-C15</f>
        <v>-139.75459999999975</v>
      </c>
      <c r="D16" s="18" t="n">
        <f aca="false" ca="false" dt2D="false" dtr="false" t="normal">D8-D15</f>
        <v>378.19180000000006</v>
      </c>
      <c r="E16" s="18" t="n">
        <f aca="false" ca="false" dt2D="false" dtr="false" t="normal">E8-E15</f>
        <v>-339.11850000000004</v>
      </c>
      <c r="F16" s="18" t="n">
        <f aca="false" ca="false" dt2D="false" dtr="false" t="normal">F8-F15</f>
        <v>143.57120000000032</v>
      </c>
      <c r="G16" s="18" t="n">
        <f aca="false" ca="false" dt2D="false" dtr="false" t="normal">G8-G15</f>
        <v>791.0041999999994</v>
      </c>
      <c r="H16" s="18" t="n">
        <f aca="false" ca="false" dt2D="false" dtr="false" t="normal">H8-H15</f>
        <v>1308.9506000000001</v>
      </c>
      <c r="I16" s="18" t="n">
        <f aca="false" ca="false" dt2D="false" dtr="false" t="normal">I8-I15</f>
        <v>1841.6403</v>
      </c>
      <c r="J16" s="18" t="n">
        <f aca="false" ca="false" dt2D="false" dtr="false" t="normal">J8-J15</f>
        <v>2424.33</v>
      </c>
      <c r="K16" s="18" t="n">
        <f aca="false" ca="false" dt2D="false" dtr="false" t="normal">K8-K15</f>
        <v>3021.763000000001</v>
      </c>
      <c r="L16" s="18" t="n">
        <f aca="false" ca="false" dt2D="false" dtr="false" t="normal">L8-L15</f>
        <v>3733.9393</v>
      </c>
      <c r="M16" s="18" t="n">
        <f aca="false" ca="false" dt2D="false" dtr="false" t="normal">M8-M15</f>
        <v>4396.115599999999</v>
      </c>
      <c r="N16" s="18" t="n">
        <f aca="false" ca="false" dt2D="false" dtr="false" t="normal">SUM(B16:M16)</f>
        <v>16902.9319</v>
      </c>
    </row>
    <row outlineLevel="0" r="17">
      <c r="A17" s="2" t="s">
        <v>98</v>
      </c>
      <c r="B17" s="4" t="n">
        <f aca="false" ca="false" dt2D="false" dtr="false" t="normal">'Допущения'!$B$9</f>
        <v>12000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8" t="n">
        <f aca="false" ca="false" dt2D="false" dtr="false" t="normal">SUM(B17:M17)</f>
        <v>12000</v>
      </c>
    </row>
    <row outlineLevel="0" r="18">
      <c r="A18" s="2" t="s">
        <v>99</v>
      </c>
      <c r="B18" s="19" t="n">
        <f aca="false" ca="false" dt2D="false" dtr="false" t="normal">B16-B17</f>
        <v>-12657.701000000001</v>
      </c>
      <c r="C18" s="19" t="n">
        <f aca="false" ca="false" dt2D="false" dtr="false" t="normal">C16-C17</f>
        <v>-139.75459999999975</v>
      </c>
      <c r="D18" s="19" t="n">
        <f aca="false" ca="false" dt2D="false" dtr="false" t="normal">D16-D17</f>
        <v>378.19180000000006</v>
      </c>
      <c r="E18" s="19" t="n">
        <f aca="false" ca="false" dt2D="false" dtr="false" t="normal">E16-E17</f>
        <v>-339.11850000000004</v>
      </c>
      <c r="F18" s="19" t="n">
        <f aca="false" ca="false" dt2D="false" dtr="false" t="normal">F16-F17</f>
        <v>143.57120000000032</v>
      </c>
      <c r="G18" s="19" t="n">
        <f aca="false" ca="false" dt2D="false" dtr="false" t="normal">G16-G17</f>
        <v>791.0041999999994</v>
      </c>
      <c r="H18" s="19" t="n">
        <f aca="false" ca="false" dt2D="false" dtr="false" t="normal">H16-H17</f>
        <v>1308.9506000000001</v>
      </c>
      <c r="I18" s="19" t="n">
        <f aca="false" ca="false" dt2D="false" dtr="false" t="normal">I16-I17</f>
        <v>1841.6403</v>
      </c>
      <c r="J18" s="19" t="n">
        <f aca="false" ca="false" dt2D="false" dtr="false" t="normal">J16-J17</f>
        <v>2424.33</v>
      </c>
      <c r="K18" s="19" t="n">
        <f aca="false" ca="false" dt2D="false" dtr="false" t="normal">K16-K17</f>
        <v>3021.763000000001</v>
      </c>
      <c r="L18" s="19" t="n">
        <f aca="false" ca="false" dt2D="false" dtr="false" t="normal">L16-L17</f>
        <v>3733.9393</v>
      </c>
      <c r="M18" s="19" t="n">
        <f aca="false" ca="false" dt2D="false" dtr="false" t="normal">M16-M17</f>
        <v>4396.115599999999</v>
      </c>
      <c r="N18" s="18" t="n">
        <f aca="false" ca="false" dt2D="false" dtr="false" t="normal">SUM(B18:M18)</f>
        <v>4902.9319</v>
      </c>
    </row>
    <row outlineLevel="0" r="19">
      <c r="A19" s="5" t="s">
        <v>100</v>
      </c>
      <c r="B19" s="18" t="n">
        <f aca="false" ca="false" dt2D="false" dtr="false" t="normal">B18</f>
        <v>-12657.701000000001</v>
      </c>
      <c r="C19" s="18" t="n">
        <f aca="false" ca="false" dt2D="false" dtr="false" t="normal">B19+C18</f>
        <v>-12797.455600000001</v>
      </c>
      <c r="D19" s="18" t="n">
        <f aca="false" ca="false" dt2D="false" dtr="false" t="normal">C19+D18</f>
        <v>-12419.2638</v>
      </c>
      <c r="E19" s="18" t="n">
        <f aca="false" ca="false" dt2D="false" dtr="false" t="normal">D19+E18</f>
        <v>-12758.382300000001</v>
      </c>
      <c r="F19" s="18" t="n">
        <f aca="false" ca="false" dt2D="false" dtr="false" t="normal">E19+F18</f>
        <v>-12614.8111</v>
      </c>
      <c r="G19" s="18" t="n">
        <f aca="false" ca="false" dt2D="false" dtr="false" t="normal">F19+G18</f>
        <v>-11823.806900000001</v>
      </c>
      <c r="H19" s="18" t="n">
        <f aca="false" ca="false" dt2D="false" dtr="false" t="normal">G19+H18</f>
        <v>-10514.856300000001</v>
      </c>
      <c r="I19" s="18" t="n">
        <f aca="false" ca="false" dt2D="false" dtr="false" t="normal">H19+I18</f>
        <v>-8673.216</v>
      </c>
      <c r="J19" s="18" t="n">
        <f aca="false" ca="false" dt2D="false" dtr="false" t="normal">I19+J18</f>
        <v>-6248.886</v>
      </c>
      <c r="K19" s="18" t="n">
        <f aca="false" ca="false" dt2D="false" dtr="false" t="normal">J19+K18</f>
        <v>-3227.1229999999996</v>
      </c>
      <c r="L19" s="18" t="n">
        <f aca="false" ca="false" dt2D="false" dtr="false" t="normal">K19+L18</f>
        <v>506.8163000000004</v>
      </c>
      <c r="M19" s="18" t="n">
        <f aca="false" ca="false" dt2D="false" dtr="false" t="normal">L19+M18</f>
        <v>4902.9319</v>
      </c>
      <c r="N19" s="18" t="n">
        <f aca="false" ca="false" dt2D="false" dtr="false" t="normal">M19</f>
        <v>4902.9319</v>
      </c>
    </row>
    <row outlineLevel="0" r="20">
      <c r="A20" s="2" t="s">
        <v>101</v>
      </c>
      <c r="B20" s="12" t="n">
        <f aca="false" ca="false" dt2D="false" dtr="false" t="normal">IF(B16&gt;=0, 1, 0)</f>
        <v>0</v>
      </c>
      <c r="C20" s="12" t="n">
        <f aca="false" ca="false" dt2D="false" dtr="false" t="normal">IF(C16&gt;=0, 1, 0)</f>
        <v>0</v>
      </c>
      <c r="D20" s="12" t="n">
        <f aca="false" ca="false" dt2D="false" dtr="false" t="normal">IF(D16&gt;=0, 1, 0)</f>
        <v>1</v>
      </c>
      <c r="E20" s="12" t="n">
        <f aca="false" ca="false" dt2D="false" dtr="false" t="normal">IF(E16&gt;=0, 1, 0)</f>
        <v>0</v>
      </c>
      <c r="F20" s="12" t="n">
        <f aca="false" ca="false" dt2D="false" dtr="false" t="normal">IF(F16&gt;=0, 1, 0)</f>
        <v>1</v>
      </c>
      <c r="G20" s="12" t="n">
        <f aca="false" ca="false" dt2D="false" dtr="false" t="normal">IF(G16&gt;=0, 1, 0)</f>
        <v>1</v>
      </c>
      <c r="H20" s="12" t="n">
        <f aca="false" ca="false" dt2D="false" dtr="false" t="normal">IF(H16&gt;=0, 1, 0)</f>
        <v>1</v>
      </c>
      <c r="I20" s="12" t="n">
        <f aca="false" ca="false" dt2D="false" dtr="false" t="normal">IF(I16&gt;=0, 1, 0)</f>
        <v>1</v>
      </c>
      <c r="J20" s="12" t="n">
        <f aca="false" ca="false" dt2D="false" dtr="false" t="normal">IF(J16&gt;=0, 1, 0)</f>
        <v>1</v>
      </c>
      <c r="K20" s="12" t="n">
        <f aca="false" ca="false" dt2D="false" dtr="false" t="normal">IF(K16&gt;=0, 1, 0)</f>
        <v>1</v>
      </c>
      <c r="L20" s="12" t="n">
        <f aca="false" ca="false" dt2D="false" dtr="false" t="normal">IF(L16&gt;=0, 1, 0)</f>
        <v>1</v>
      </c>
      <c r="M20" s="12" t="n">
        <f aca="false" ca="false" dt2D="false" dtr="false" t="normal">IF(M16&gt;=0, 1, 0)</f>
        <v>1</v>
      </c>
    </row>
    <row outlineLevel="0" r="21">
      <c r="A21" s="2" t="s">
        <v>102</v>
      </c>
      <c r="B21" s="12" t="n">
        <f aca="false" ca="false" dt2D="false" dtr="false" t="normal">IF(B19&gt;=0, 1, 0)</f>
        <v>0</v>
      </c>
      <c r="C21" s="12" t="n">
        <f aca="false" ca="false" dt2D="false" dtr="false" t="normal">IF(C19&gt;=0, 1, 0)</f>
        <v>0</v>
      </c>
      <c r="D21" s="12" t="n">
        <f aca="false" ca="false" dt2D="false" dtr="false" t="normal">IF(D19&gt;=0, 1, 0)</f>
        <v>0</v>
      </c>
      <c r="E21" s="12" t="n">
        <f aca="false" ca="false" dt2D="false" dtr="false" t="normal">IF(E19&gt;=0, 1, 0)</f>
        <v>0</v>
      </c>
      <c r="F21" s="12" t="n">
        <f aca="false" ca="false" dt2D="false" dtr="false" t="normal">IF(F19&gt;=0, 1, 0)</f>
        <v>0</v>
      </c>
      <c r="G21" s="12" t="n">
        <f aca="false" ca="false" dt2D="false" dtr="false" t="normal">IF(G19&gt;=0, 1, 0)</f>
        <v>0</v>
      </c>
      <c r="H21" s="12" t="n">
        <f aca="false" ca="false" dt2D="false" dtr="false" t="normal">IF(H19&gt;=0, 1, 0)</f>
        <v>0</v>
      </c>
      <c r="I21" s="12" t="n">
        <f aca="false" ca="false" dt2D="false" dtr="false" t="normal">IF(I19&gt;=0, 1, 0)</f>
        <v>0</v>
      </c>
      <c r="J21" s="12" t="n">
        <f aca="false" ca="false" dt2D="false" dtr="false" t="normal">IF(J19&gt;=0, 1, 0)</f>
        <v>0</v>
      </c>
      <c r="K21" s="12" t="n">
        <f aca="false" ca="false" dt2D="false" dtr="false" t="normal">IF(K19&gt;=0, 1, 0)</f>
        <v>0</v>
      </c>
      <c r="L21" s="12" t="n">
        <f aca="false" ca="false" dt2D="false" dtr="false" t="normal">IF(L19&gt;=0, 1, 0)</f>
        <v>1</v>
      </c>
      <c r="M21" s="12" t="n">
        <f aca="false" ca="false" dt2D="false" dtr="false" t="normal">IF(M19&gt;=0, 1, 0)</f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N21"/>
  <sheetViews>
    <sheetView showZeros="true" workbookViewId="0">
      <pane activePane="bottomRight" state="frozen" topLeftCell="B4" xSplit="1" ySplit="3"/>
    </sheetView>
  </sheetViews>
  <sheetFormatPr baseColWidth="8" customHeight="false" defaultColWidth="9.14062530925693" defaultRowHeight="15" zeroHeight="false"/>
  <cols>
    <col customWidth="true" max="1" min="1" outlineLevel="0" width="33.9999989850029"/>
    <col customWidth="true" max="14" min="2" outlineLevel="0" width="10.9999998308338"/>
  </cols>
  <sheetData>
    <row outlineLevel="0" r="1">
      <c r="A1" s="1" t="s">
        <v>104</v>
      </c>
    </row>
    <row outlineLevel="0" r="2">
      <c r="A2" s="2" t="s">
        <v>71</v>
      </c>
    </row>
    <row outlineLevel="0" r="3">
      <c r="A3" s="3" t="s">
        <v>2</v>
      </c>
      <c r="B3" s="3" t="s">
        <v>72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  <c r="H3" s="3" t="s">
        <v>78</v>
      </c>
      <c r="I3" s="3" t="s">
        <v>79</v>
      </c>
      <c r="J3" s="3" t="s">
        <v>80</v>
      </c>
      <c r="K3" s="3" t="s">
        <v>81</v>
      </c>
      <c r="L3" s="3" t="s">
        <v>82</v>
      </c>
      <c r="M3" s="3" t="s">
        <v>83</v>
      </c>
      <c r="N3" s="3" t="s">
        <v>84</v>
      </c>
    </row>
    <row outlineLevel="0" r="4">
      <c r="A4" s="2" t="s">
        <v>85</v>
      </c>
      <c r="B4" s="4" t="n">
        <f aca="false" ca="false" dt2D="false" dtr="false" t="normal">'Допущения'!D21</f>
        <v>700</v>
      </c>
      <c r="C4" s="4" t="n">
        <f aca="false" ca="false" dt2D="false" dtr="false" t="normal">'Допущения'!D22</f>
        <v>200</v>
      </c>
      <c r="D4" s="4" t="n">
        <f aca="false" ca="false" dt2D="false" dtr="false" t="normal">'Допущения'!D23</f>
        <v>200</v>
      </c>
      <c r="E4" s="4" t="n">
        <f aca="false" ca="false" dt2D="false" dtr="false" t="normal">'Допущения'!D24</f>
        <v>250</v>
      </c>
      <c r="F4" s="4" t="n">
        <f aca="false" ca="false" dt2D="false" dtr="false" t="normal">'Допущения'!D25</f>
        <v>280</v>
      </c>
      <c r="G4" s="4" t="n">
        <f aca="false" ca="false" dt2D="false" dtr="false" t="normal">'Допущения'!D26</f>
        <v>280</v>
      </c>
      <c r="H4" s="4" t="n">
        <f aca="false" ca="false" dt2D="false" dtr="false" t="normal">'Допущения'!D27</f>
        <v>230</v>
      </c>
      <c r="I4" s="4" t="n">
        <f aca="false" ca="false" dt2D="false" dtr="false" t="normal">'Допущения'!D28</f>
        <v>280</v>
      </c>
      <c r="J4" s="4" t="n">
        <f aca="false" ca="false" dt2D="false" dtr="false" t="normal">'Допущения'!D29</f>
        <v>280</v>
      </c>
      <c r="K4" s="4" t="n">
        <f aca="false" ca="false" dt2D="false" dtr="false" t="normal">'Допущения'!D30</f>
        <v>310</v>
      </c>
      <c r="L4" s="4" t="n">
        <f aca="false" ca="false" dt2D="false" dtr="false" t="normal">'Допущения'!D31</f>
        <v>330</v>
      </c>
      <c r="M4" s="4" t="n">
        <f aca="false" ca="false" dt2D="false" dtr="false" t="normal">'Допущения'!D32</f>
        <v>350</v>
      </c>
      <c r="N4" s="18" t="n">
        <f aca="false" ca="false" dt2D="false" dtr="false" t="normal">SUM(B4:M4)</f>
        <v>3690</v>
      </c>
    </row>
    <row outlineLevel="0" r="5">
      <c r="A5" s="2" t="s">
        <v>86</v>
      </c>
      <c r="B5" s="19" t="n">
        <f aca="false" ca="false" dt2D="false" dtr="false" t="normal">B4</f>
        <v>700</v>
      </c>
      <c r="C5" s="19" t="n">
        <f aca="false" ca="false" dt2D="false" dtr="false" t="normal">B5+C4</f>
        <v>900</v>
      </c>
      <c r="D5" s="19" t="n">
        <f aca="false" ca="false" dt2D="false" dtr="false" t="normal">C5+D4</f>
        <v>1100</v>
      </c>
      <c r="E5" s="19" t="n">
        <f aca="false" ca="false" dt2D="false" dtr="false" t="normal">D5+E4</f>
        <v>1350</v>
      </c>
      <c r="F5" s="19" t="n">
        <f aca="false" ca="false" dt2D="false" dtr="false" t="normal">E5+F4</f>
        <v>1630</v>
      </c>
      <c r="G5" s="19" t="n">
        <f aca="false" ca="false" dt2D="false" dtr="false" t="normal">F5+G4</f>
        <v>1910</v>
      </c>
      <c r="H5" s="19" t="n">
        <f aca="false" ca="false" dt2D="false" dtr="false" t="normal">G5+H4</f>
        <v>2140</v>
      </c>
      <c r="I5" s="19" t="n">
        <f aca="false" ca="false" dt2D="false" dtr="false" t="normal">H5+I4</f>
        <v>2420</v>
      </c>
      <c r="J5" s="19" t="n">
        <f aca="false" ca="false" dt2D="false" dtr="false" t="normal">I5+J4</f>
        <v>2700</v>
      </c>
      <c r="K5" s="19" t="n">
        <f aca="false" ca="false" dt2D="false" dtr="false" t="normal">J5+K4</f>
        <v>3010</v>
      </c>
      <c r="L5" s="19" t="n">
        <f aca="false" ca="false" dt2D="false" dtr="false" t="normal">K5+L4</f>
        <v>3340</v>
      </c>
      <c r="M5" s="19" t="n">
        <f aca="false" ca="false" dt2D="false" dtr="false" t="normal">L5+M4</f>
        <v>3690</v>
      </c>
      <c r="N5" s="18" t="n">
        <f aca="false" ca="false" dt2D="false" dtr="false" t="normal">M5</f>
        <v>3690</v>
      </c>
    </row>
    <row outlineLevel="0" r="6">
      <c r="A6" s="2" t="s">
        <v>87</v>
      </c>
      <c r="B6" s="19" t="n">
        <f aca="false" ca="false" dt2D="false" dtr="false" t="normal">ROUND(B5*'Допущения'!D14, 0)</f>
        <v>350</v>
      </c>
      <c r="C6" s="19" t="n">
        <f aca="false" ca="false" dt2D="false" dtr="false" t="normal">ROUND(C5*'Допущения'!D14, 0)</f>
        <v>450</v>
      </c>
      <c r="D6" s="19" t="n">
        <f aca="false" ca="false" dt2D="false" dtr="false" t="normal">ROUND(D5*'Допущения'!D14, 0)</f>
        <v>550</v>
      </c>
      <c r="E6" s="19" t="n">
        <f aca="false" ca="false" dt2D="false" dtr="false" t="normal">ROUND(E5*'Допущения'!D14, 0)</f>
        <v>675</v>
      </c>
      <c r="F6" s="19" t="n">
        <f aca="false" ca="false" dt2D="false" dtr="false" t="normal">ROUND(F5*'Допущения'!D14, 0)</f>
        <v>815</v>
      </c>
      <c r="G6" s="19" t="n">
        <f aca="false" ca="false" dt2D="false" dtr="false" t="normal">ROUND(G5*'Допущения'!D14, 0)</f>
        <v>955</v>
      </c>
      <c r="H6" s="19" t="n">
        <f aca="false" ca="false" dt2D="false" dtr="false" t="normal">ROUND(H5*'Допущения'!D14, 0)</f>
        <v>1070</v>
      </c>
      <c r="I6" s="19" t="n">
        <f aca="false" ca="false" dt2D="false" dtr="false" t="normal">ROUND(I5*'Допущения'!D14, 0)</f>
        <v>1210</v>
      </c>
      <c r="J6" s="19" t="n">
        <f aca="false" ca="false" dt2D="false" dtr="false" t="normal">ROUND(J5*'Допущения'!D14, 0)</f>
        <v>1350</v>
      </c>
      <c r="K6" s="19" t="n">
        <f aca="false" ca="false" dt2D="false" dtr="false" t="normal">ROUND(K5*'Допущения'!D14, 0)</f>
        <v>1505</v>
      </c>
      <c r="L6" s="19" t="n">
        <f aca="false" ca="false" dt2D="false" dtr="false" t="normal">ROUND(L5*'Допущения'!D14, 0)</f>
        <v>1670</v>
      </c>
      <c r="M6" s="19" t="n">
        <f aca="false" ca="false" dt2D="false" dtr="false" t="normal">ROUND(M5*'Допущения'!D14, 0)</f>
        <v>1845</v>
      </c>
      <c r="N6" s="18" t="n">
        <f aca="false" ca="false" dt2D="false" dtr="false" t="normal">M6</f>
        <v>1845</v>
      </c>
    </row>
    <row outlineLevel="0" r="7">
      <c r="A7" s="2" t="s">
        <v>88</v>
      </c>
      <c r="B7" s="19" t="n">
        <f aca="false" ca="false" dt2D="false" dtr="false" t="normal">ROUND(B6*'Допущения'!D15, 0)</f>
        <v>77</v>
      </c>
      <c r="C7" s="19" t="n">
        <f aca="false" ca="false" dt2D="false" dtr="false" t="normal">ROUND(C6*'Допущения'!D15, 0)</f>
        <v>99</v>
      </c>
      <c r="D7" s="19" t="n">
        <f aca="false" ca="false" dt2D="false" dtr="false" t="normal">ROUND(D6*'Допущения'!D15, 0)</f>
        <v>121</v>
      </c>
      <c r="E7" s="19" t="n">
        <f aca="false" ca="false" dt2D="false" dtr="false" t="normal">ROUND(E6*'Допущения'!D15, 0)</f>
        <v>149</v>
      </c>
      <c r="F7" s="19" t="n">
        <f aca="false" ca="false" dt2D="false" dtr="false" t="normal">ROUND(F6*'Допущения'!D15, 0)</f>
        <v>179</v>
      </c>
      <c r="G7" s="19" t="n">
        <f aca="false" ca="false" dt2D="false" dtr="false" t="normal">ROUND(G6*'Допущения'!D15, 0)</f>
        <v>210</v>
      </c>
      <c r="H7" s="19" t="n">
        <f aca="false" ca="false" dt2D="false" dtr="false" t="normal">ROUND(H6*'Допущения'!D15, 0)</f>
        <v>235</v>
      </c>
      <c r="I7" s="19" t="n">
        <f aca="false" ca="false" dt2D="false" dtr="false" t="normal">ROUND(I6*'Допущения'!D15, 0)</f>
        <v>266</v>
      </c>
      <c r="J7" s="19" t="n">
        <f aca="false" ca="false" dt2D="false" dtr="false" t="normal">ROUND(J6*'Допущения'!D15, 0)</f>
        <v>297</v>
      </c>
      <c r="K7" s="19" t="n">
        <f aca="false" ca="false" dt2D="false" dtr="false" t="normal">ROUND(K6*'Допущения'!D15, 0)</f>
        <v>331</v>
      </c>
      <c r="L7" s="19" t="n">
        <f aca="false" ca="false" dt2D="false" dtr="false" t="normal">ROUND(L6*'Допущения'!D15, 0)</f>
        <v>367</v>
      </c>
      <c r="M7" s="19" t="n">
        <f aca="false" ca="false" dt2D="false" dtr="false" t="normal">ROUND(M6*'Допущения'!D15, 0)</f>
        <v>405.99999999999994</v>
      </c>
      <c r="N7" s="18" t="n">
        <f aca="false" ca="false" dt2D="false" dtr="false" t="normal">M7</f>
        <v>405.99999999999994</v>
      </c>
    </row>
    <row outlineLevel="0" r="8">
      <c r="A8" s="5" t="s">
        <v>89</v>
      </c>
      <c r="B8" s="18" t="n">
        <f aca="false" ca="false" dt2D="false" dtr="false" t="normal">B7*'Допущения'!$B$7</f>
        <v>5128.841666666667</v>
      </c>
      <c r="C8" s="18" t="n">
        <f aca="false" ca="false" dt2D="false" dtr="false" t="normal">C7*'Допущения'!$B$7</f>
        <v>6594.225</v>
      </c>
      <c r="D8" s="18" t="n">
        <f aca="false" ca="false" dt2D="false" dtr="false" t="normal">D7*'Допущения'!$B$7</f>
        <v>8059.608333333334</v>
      </c>
      <c r="E8" s="18" t="n">
        <f aca="false" ca="false" dt2D="false" dtr="false" t="normal">E7*'Допущения'!$B$7</f>
        <v>9924.641666666666</v>
      </c>
      <c r="F8" s="18" t="n">
        <f aca="false" ca="false" dt2D="false" dtr="false" t="normal">F7*'Допущения'!$B$7</f>
        <v>11922.891666666666</v>
      </c>
      <c r="G8" s="18" t="n">
        <f aca="false" ca="false" dt2D="false" dtr="false" t="normal">G7*'Допущения'!$B$7</f>
        <v>13987.75</v>
      </c>
      <c r="H8" s="18" t="n">
        <f aca="false" ca="false" dt2D="false" dtr="false" t="normal">H7*'Допущения'!$B$7</f>
        <v>15652.958333333334</v>
      </c>
      <c r="I8" s="18" t="n">
        <f aca="false" ca="false" dt2D="false" dtr="false" t="normal">I7*'Допущения'!$B$7</f>
        <v>17717.816666666666</v>
      </c>
      <c r="J8" s="18" t="n">
        <f aca="false" ca="false" dt2D="false" dtr="false" t="normal">J7*'Допущения'!$B$7</f>
        <v>19782.675</v>
      </c>
      <c r="K8" s="18" t="n">
        <f aca="false" ca="false" dt2D="false" dtr="false" t="normal">K7*'Допущения'!$B$7</f>
        <v>22047.358333333334</v>
      </c>
      <c r="L8" s="18" t="n">
        <f aca="false" ca="false" dt2D="false" dtr="false" t="normal">L7*'Допущения'!$B$7</f>
        <v>24445.258333333335</v>
      </c>
      <c r="M8" s="18" t="n">
        <f aca="false" ca="false" dt2D="false" dtr="false" t="normal">M7*'Допущения'!$B$7</f>
        <v>27042.98333333333</v>
      </c>
      <c r="N8" s="18" t="n">
        <f aca="false" ca="false" dt2D="false" dtr="false" t="normal">SUM(B8:M8)</f>
        <v>182307.00833333336</v>
      </c>
    </row>
    <row outlineLevel="0" r="9">
      <c r="A9" s="11" t="s">
        <v>90</v>
      </c>
    </row>
    <row outlineLevel="0" r="10">
      <c r="A10" s="2" t="s">
        <v>91</v>
      </c>
      <c r="B10" s="4" t="n">
        <f aca="false" ca="false" dt2D="false" dtr="false" t="normal">'Допущения'!$B$10</f>
        <v>500</v>
      </c>
      <c r="C10" s="4" t="n">
        <f aca="false" ca="false" dt2D="false" dtr="false" t="normal">'Допущения'!$B$10</f>
        <v>500</v>
      </c>
      <c r="D10" s="4" t="n">
        <f aca="false" ca="false" dt2D="false" dtr="false" t="normal">'Допущения'!$B$10</f>
        <v>500</v>
      </c>
      <c r="E10" s="4" t="n">
        <f aca="false" ca="false" dt2D="false" dtr="false" t="normal">'Допущения'!$B$10</f>
        <v>500</v>
      </c>
      <c r="F10" s="4" t="n">
        <f aca="false" ca="false" dt2D="false" dtr="false" t="normal">'Допущения'!$B$10</f>
        <v>500</v>
      </c>
      <c r="G10" s="4" t="n">
        <f aca="false" ca="false" dt2D="false" dtr="false" t="normal">'Допущения'!$B$10</f>
        <v>500</v>
      </c>
      <c r="H10" s="4" t="n">
        <f aca="false" ca="false" dt2D="false" dtr="false" t="normal">'Допущения'!$B$10</f>
        <v>500</v>
      </c>
      <c r="I10" s="4" t="n">
        <f aca="false" ca="false" dt2D="false" dtr="false" t="normal">'Допущения'!$B$10</f>
        <v>500</v>
      </c>
      <c r="J10" s="4" t="n">
        <f aca="false" ca="false" dt2D="false" dtr="false" t="normal">'Допущения'!$B$10</f>
        <v>500</v>
      </c>
      <c r="K10" s="4" t="n">
        <f aca="false" ca="false" dt2D="false" dtr="false" t="normal">'Допущения'!$B$10</f>
        <v>500</v>
      </c>
      <c r="L10" s="4" t="n">
        <f aca="false" ca="false" dt2D="false" dtr="false" t="normal">'Допущения'!$B$10</f>
        <v>500</v>
      </c>
      <c r="M10" s="4" t="n">
        <f aca="false" ca="false" dt2D="false" dtr="false" t="normal">'Допущения'!$B$10</f>
        <v>500</v>
      </c>
      <c r="N10" s="18" t="n">
        <f aca="false" ca="false" dt2D="false" dtr="false" t="normal">SUM(B10:M10)</f>
        <v>6000</v>
      </c>
    </row>
    <row outlineLevel="0" r="11">
      <c r="A11" s="2" t="s">
        <v>92</v>
      </c>
      <c r="B11" s="19" t="n">
        <f aca="false" ca="false" dt2D="false" dtr="false" t="normal">IF(1&lt;=3, 'Допущения'!$B$11, 'Допущения'!D16)</f>
        <v>2000</v>
      </c>
      <c r="C11" s="19" t="n">
        <f aca="false" ca="false" dt2D="false" dtr="false" t="normal">IF(2&lt;=3, 'Допущения'!$B$11, 'Допущения'!D16)</f>
        <v>2000</v>
      </c>
      <c r="D11" s="19" t="n">
        <f aca="false" ca="false" dt2D="false" dtr="false" t="normal">IF(3&lt;=3, 'Допущения'!$B$11, 'Допущения'!D16)</f>
        <v>2000</v>
      </c>
      <c r="E11" s="19" t="n">
        <f aca="false" ca="false" dt2D="false" dtr="false" t="normal">IF(4&lt;=3, 'Допущения'!$B$11, 'Допущения'!D16)</f>
        <v>5000</v>
      </c>
      <c r="F11" s="19" t="n">
        <f aca="false" ca="false" dt2D="false" dtr="false" t="normal">IF(5&lt;=3, 'Допущения'!$B$11, 'Допущения'!D16)</f>
        <v>5000</v>
      </c>
      <c r="G11" s="19" t="n">
        <f aca="false" ca="false" dt2D="false" dtr="false" t="normal">IF(6&lt;=3, 'Допущения'!$B$11, 'Допущения'!D16)</f>
        <v>5000</v>
      </c>
      <c r="H11" s="19" t="n">
        <f aca="false" ca="false" dt2D="false" dtr="false" t="normal">IF(7&lt;=3, 'Допущения'!$B$11, 'Допущения'!D16)</f>
        <v>5000</v>
      </c>
      <c r="I11" s="19" t="n">
        <f aca="false" ca="false" dt2D="false" dtr="false" t="normal">IF(8&lt;=3, 'Допущения'!$B$11, 'Допущения'!D16)</f>
        <v>5000</v>
      </c>
      <c r="J11" s="19" t="n">
        <f aca="false" ca="false" dt2D="false" dtr="false" t="normal">IF(9&lt;=3, 'Допущения'!$B$11, 'Допущения'!D16)</f>
        <v>5000</v>
      </c>
      <c r="K11" s="19" t="n">
        <f aca="false" ca="false" dt2D="false" dtr="false" t="normal">IF(10&lt;=3, 'Допущения'!$B$11, 'Допущения'!D16)</f>
        <v>5000</v>
      </c>
      <c r="L11" s="19" t="n">
        <f aca="false" ca="false" dt2D="false" dtr="false" t="normal">IF(11&lt;=3, 'Допущения'!$B$11, 'Допущения'!D16)</f>
        <v>5000</v>
      </c>
      <c r="M11" s="19" t="n">
        <f aca="false" ca="false" dt2D="false" dtr="false" t="normal">IF(12&lt;=3, 'Допущения'!$B$11, 'Допущения'!D16)</f>
        <v>5000</v>
      </c>
      <c r="N11" s="18" t="n">
        <f aca="false" ca="false" dt2D="false" dtr="false" t="normal">SUM(B11:M11)</f>
        <v>51000</v>
      </c>
    </row>
    <row outlineLevel="0" r="12">
      <c r="A12" s="2" t="s">
        <v>93</v>
      </c>
      <c r="B12" s="4" t="n">
        <f aca="false" ca="false" dt2D="false" dtr="false" t="normal">'Допущения'!B36</f>
        <v>100</v>
      </c>
      <c r="C12" s="4" t="n">
        <f aca="false" ca="false" dt2D="false" dtr="false" t="normal">'Допущения'!B37</f>
        <v>100</v>
      </c>
      <c r="D12" s="4" t="n">
        <f aca="false" ca="false" dt2D="false" dtr="false" t="normal">'Допущения'!B38</f>
        <v>100</v>
      </c>
      <c r="E12" s="4" t="n">
        <f aca="false" ca="false" dt2D="false" dtr="false" t="normal">'Допущения'!B39</f>
        <v>200</v>
      </c>
      <c r="F12" s="4" t="n">
        <f aca="false" ca="false" dt2D="false" dtr="false" t="normal">'Допущения'!B40</f>
        <v>200</v>
      </c>
      <c r="G12" s="4" t="n">
        <f aca="false" ca="false" dt2D="false" dtr="false" t="normal">'Допущения'!B41</f>
        <v>200</v>
      </c>
      <c r="H12" s="4" t="n">
        <f aca="false" ca="false" dt2D="false" dtr="false" t="normal">'Допущения'!B42</f>
        <v>200</v>
      </c>
      <c r="I12" s="4" t="n">
        <f aca="false" ca="false" dt2D="false" dtr="false" t="normal">'Допущения'!B43</f>
        <v>250</v>
      </c>
      <c r="J12" s="4" t="n">
        <f aca="false" ca="false" dt2D="false" dtr="false" t="normal">'Допущения'!B44</f>
        <v>250</v>
      </c>
      <c r="K12" s="4" t="n">
        <f aca="false" ca="false" dt2D="false" dtr="false" t="normal">'Допущения'!B45</f>
        <v>300</v>
      </c>
      <c r="L12" s="4" t="n">
        <f aca="false" ca="false" dt2D="false" dtr="false" t="normal">'Допущения'!B46</f>
        <v>300</v>
      </c>
      <c r="M12" s="4" t="n">
        <f aca="false" ca="false" dt2D="false" dtr="false" t="normal">'Допущения'!B47</f>
        <v>350</v>
      </c>
      <c r="N12" s="18" t="n">
        <f aca="false" ca="false" dt2D="false" dtr="false" t="normal">SUM(B12:M12)</f>
        <v>2550</v>
      </c>
    </row>
    <row outlineLevel="0" r="13">
      <c r="A13" s="2" t="s">
        <v>94</v>
      </c>
      <c r="B13" s="4" t="n">
        <f aca="false" ca="false" dt2D="false" dtr="false" t="normal">'Допущения'!C36</f>
        <v>0</v>
      </c>
      <c r="C13" s="4" t="n">
        <f aca="false" ca="false" dt2D="false" dtr="false" t="normal">'Допущения'!C37</f>
        <v>0</v>
      </c>
      <c r="D13" s="4" t="n">
        <f aca="false" ca="false" dt2D="false" dtr="false" t="normal">'Допущения'!C38</f>
        <v>0</v>
      </c>
      <c r="E13" s="4" t="n">
        <f aca="false" ca="false" dt2D="false" dtr="false" t="normal">'Допущения'!C39</f>
        <v>200</v>
      </c>
      <c r="F13" s="4" t="n">
        <f aca="false" ca="false" dt2D="false" dtr="false" t="normal">'Допущения'!C40</f>
        <v>300</v>
      </c>
      <c r="G13" s="4" t="n">
        <f aca="false" ca="false" dt2D="false" dtr="false" t="normal">'Допущения'!C41</f>
        <v>300</v>
      </c>
      <c r="H13" s="4" t="n">
        <f aca="false" ca="false" dt2D="false" dtr="false" t="normal">'Допущения'!C42</f>
        <v>300</v>
      </c>
      <c r="I13" s="4" t="n">
        <f aca="false" ca="false" dt2D="false" dtr="false" t="normal">'Допущения'!C43</f>
        <v>300</v>
      </c>
      <c r="J13" s="4" t="n">
        <f aca="false" ca="false" dt2D="false" dtr="false" t="normal">'Допущения'!C44</f>
        <v>300</v>
      </c>
      <c r="K13" s="4" t="n">
        <f aca="false" ca="false" dt2D="false" dtr="false" t="normal">'Допущения'!C45</f>
        <v>300</v>
      </c>
      <c r="L13" s="4" t="n">
        <f aca="false" ca="false" dt2D="false" dtr="false" t="normal">'Допущения'!C46</f>
        <v>300</v>
      </c>
      <c r="M13" s="4" t="n">
        <f aca="false" ca="false" dt2D="false" dtr="false" t="normal">'Допущения'!C47</f>
        <v>300</v>
      </c>
      <c r="N13" s="18" t="n">
        <f aca="false" ca="false" dt2D="false" dtr="false" t="normal">SUM(B13:M13)</f>
        <v>2600</v>
      </c>
    </row>
    <row outlineLevel="0" r="14">
      <c r="A14" s="2" t="s">
        <v>95</v>
      </c>
      <c r="B14" s="19" t="n">
        <f aca="false" ca="false" dt2D="false" dtr="false" t="normal">B8*'Допущения'!$B$8</f>
        <v>143.60756666666668</v>
      </c>
      <c r="C14" s="19" t="n">
        <f aca="false" ca="false" dt2D="false" dtr="false" t="normal">C8*'Допущения'!$B$8</f>
        <v>184.63830000000002</v>
      </c>
      <c r="D14" s="19" t="n">
        <f aca="false" ca="false" dt2D="false" dtr="false" t="normal">D8*'Допущения'!$B$8</f>
        <v>225.66903333333335</v>
      </c>
      <c r="E14" s="19" t="n">
        <f aca="false" ca="false" dt2D="false" dtr="false" t="normal">E8*'Допущения'!$B$8</f>
        <v>277.8899666666667</v>
      </c>
      <c r="F14" s="19" t="n">
        <f aca="false" ca="false" dt2D="false" dtr="false" t="normal">F8*'Допущения'!$B$8</f>
        <v>333.84096666666665</v>
      </c>
      <c r="G14" s="19" t="n">
        <f aca="false" ca="false" dt2D="false" dtr="false" t="normal">G8*'Допущения'!$B$8</f>
        <v>391.657</v>
      </c>
      <c r="H14" s="19" t="n">
        <f aca="false" ca="false" dt2D="false" dtr="false" t="normal">H8*'Допущения'!$B$8</f>
        <v>438.2828333333334</v>
      </c>
      <c r="I14" s="19" t="n">
        <f aca="false" ca="false" dt2D="false" dtr="false" t="normal">I8*'Допущения'!$B$8</f>
        <v>496.09886666666665</v>
      </c>
      <c r="J14" s="19" t="n">
        <f aca="false" ca="false" dt2D="false" dtr="false" t="normal">J8*'Допущения'!$B$8</f>
        <v>553.9149</v>
      </c>
      <c r="K14" s="19" t="n">
        <f aca="false" ca="false" dt2D="false" dtr="false" t="normal">K8*'Допущения'!$B$8</f>
        <v>617.3260333333334</v>
      </c>
      <c r="L14" s="19" t="n">
        <f aca="false" ca="false" dt2D="false" dtr="false" t="normal">L8*'Допущения'!$B$8</f>
        <v>684.4672333333334</v>
      </c>
      <c r="M14" s="19" t="n">
        <f aca="false" ca="false" dt2D="false" dtr="false" t="normal">M8*'Допущения'!$B$8</f>
        <v>757.2035333333332</v>
      </c>
      <c r="N14" s="18" t="n">
        <f aca="false" ca="false" dt2D="false" dtr="false" t="normal">SUM(B14:M14)</f>
        <v>5104.596233333333</v>
      </c>
    </row>
    <row outlineLevel="0" r="15">
      <c r="A15" s="5" t="s">
        <v>96</v>
      </c>
      <c r="B15" s="18" t="n">
        <f aca="false" ca="false" dt2D="false" dtr="false" t="normal">SUM(B10:B14)</f>
        <v>2743.6075666666666</v>
      </c>
      <c r="C15" s="18" t="n">
        <f aca="false" ca="false" dt2D="false" dtr="false" t="normal">SUM(C10:C14)</f>
        <v>2784.6383</v>
      </c>
      <c r="D15" s="18" t="n">
        <f aca="false" ca="false" dt2D="false" dtr="false" t="normal">SUM(D10:D14)</f>
        <v>2825.6690333333336</v>
      </c>
      <c r="E15" s="18" t="n">
        <f aca="false" ca="false" dt2D="false" dtr="false" t="normal">SUM(E10:E14)</f>
        <v>6177.889966666667</v>
      </c>
      <c r="F15" s="18" t="n">
        <f aca="false" ca="false" dt2D="false" dtr="false" t="normal">SUM(F10:F14)</f>
        <v>6333.840966666667</v>
      </c>
      <c r="G15" s="18" t="n">
        <f aca="false" ca="false" dt2D="false" dtr="false" t="normal">SUM(G10:G14)</f>
        <v>6391.657</v>
      </c>
      <c r="H15" s="18" t="n">
        <f aca="false" ca="false" dt2D="false" dtr="false" t="normal">SUM(H10:H14)</f>
        <v>6438.282833333334</v>
      </c>
      <c r="I15" s="18" t="n">
        <f aca="false" ca="false" dt2D="false" dtr="false" t="normal">SUM(I10:I14)</f>
        <v>6546.098866666666</v>
      </c>
      <c r="J15" s="18" t="n">
        <f aca="false" ca="false" dt2D="false" dtr="false" t="normal">SUM(J10:J14)</f>
        <v>6603.9149</v>
      </c>
      <c r="K15" s="18" t="n">
        <f aca="false" ca="false" dt2D="false" dtr="false" t="normal">SUM(K10:K14)</f>
        <v>6717.326033333334</v>
      </c>
      <c r="L15" s="18" t="n">
        <f aca="false" ca="false" dt2D="false" dtr="false" t="normal">SUM(L10:L14)</f>
        <v>6784.467233333334</v>
      </c>
      <c r="M15" s="18" t="n">
        <f aca="false" ca="false" dt2D="false" dtr="false" t="normal">SUM(M10:M14)</f>
        <v>6907.203533333333</v>
      </c>
      <c r="N15" s="18" t="n">
        <f aca="false" ca="false" dt2D="false" dtr="false" t="normal">SUM(B15:M15)</f>
        <v>67254.59623333334</v>
      </c>
    </row>
    <row outlineLevel="0" r="16">
      <c r="A16" s="5" t="s">
        <v>97</v>
      </c>
      <c r="B16" s="18" t="n">
        <f aca="false" ca="false" dt2D="false" dtr="false" t="normal">B8-B15</f>
        <v>2385.2341000000006</v>
      </c>
      <c r="C16" s="18" t="n">
        <f aca="false" ca="false" dt2D="false" dtr="false" t="normal">C8-C15</f>
        <v>3809.5867000000003</v>
      </c>
      <c r="D16" s="18" t="n">
        <f aca="false" ca="false" dt2D="false" dtr="false" t="normal">D8-D15</f>
        <v>5233.9393</v>
      </c>
      <c r="E16" s="18" t="n">
        <f aca="false" ca="false" dt2D="false" dtr="false" t="normal">E8-E15</f>
        <v>3746.7517</v>
      </c>
      <c r="F16" s="18" t="n">
        <f aca="false" ca="false" dt2D="false" dtr="false" t="normal">F8-F15</f>
        <v>5589.0507</v>
      </c>
      <c r="G16" s="18" t="n">
        <f aca="false" ca="false" dt2D="false" dtr="false" t="normal">G8-G15</f>
        <v>7596.093</v>
      </c>
      <c r="H16" s="18" t="n">
        <f aca="false" ca="false" dt2D="false" dtr="false" t="normal">H8-H15</f>
        <v>9214.675500000001</v>
      </c>
      <c r="I16" s="18" t="n">
        <f aca="false" ca="false" dt2D="false" dtr="false" t="normal">I8-I15</f>
        <v>11171.717799999999</v>
      </c>
      <c r="J16" s="18" t="n">
        <f aca="false" ca="false" dt2D="false" dtr="false" t="normal">J8-J15</f>
        <v>13178.7601</v>
      </c>
      <c r="K16" s="18" t="n">
        <f aca="false" ca="false" dt2D="false" dtr="false" t="normal">K8-K15</f>
        <v>15330.032299999999</v>
      </c>
      <c r="L16" s="18" t="n">
        <f aca="false" ca="false" dt2D="false" dtr="false" t="normal">L8-L15</f>
        <v>17660.791100000002</v>
      </c>
      <c r="M16" s="18" t="n">
        <f aca="false" ca="false" dt2D="false" dtr="false" t="normal">M8-M15</f>
        <v>20135.779799999997</v>
      </c>
      <c r="N16" s="18" t="n">
        <f aca="false" ca="false" dt2D="false" dtr="false" t="normal">SUM(B16:M16)</f>
        <v>115052.41209999999</v>
      </c>
    </row>
    <row outlineLevel="0" r="17">
      <c r="A17" s="2" t="s">
        <v>98</v>
      </c>
      <c r="B17" s="4" t="n">
        <f aca="false" ca="false" dt2D="false" dtr="false" t="normal">'Допущения'!$B$9</f>
        <v>12000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8" t="n">
        <f aca="false" ca="false" dt2D="false" dtr="false" t="normal">SUM(B17:M17)</f>
        <v>12000</v>
      </c>
    </row>
    <row outlineLevel="0" r="18">
      <c r="A18" s="2" t="s">
        <v>99</v>
      </c>
      <c r="B18" s="19" t="n">
        <f aca="false" ca="false" dt2D="false" dtr="false" t="normal">B16-B17</f>
        <v>-9614.765899999999</v>
      </c>
      <c r="C18" s="19" t="n">
        <f aca="false" ca="false" dt2D="false" dtr="false" t="normal">C16-C17</f>
        <v>3809.5867000000003</v>
      </c>
      <c r="D18" s="19" t="n">
        <f aca="false" ca="false" dt2D="false" dtr="false" t="normal">D16-D17</f>
        <v>5233.9393</v>
      </c>
      <c r="E18" s="19" t="n">
        <f aca="false" ca="false" dt2D="false" dtr="false" t="normal">E16-E17</f>
        <v>3746.7517</v>
      </c>
      <c r="F18" s="19" t="n">
        <f aca="false" ca="false" dt2D="false" dtr="false" t="normal">F16-F17</f>
        <v>5589.0507</v>
      </c>
      <c r="G18" s="19" t="n">
        <f aca="false" ca="false" dt2D="false" dtr="false" t="normal">G16-G17</f>
        <v>7596.093</v>
      </c>
      <c r="H18" s="19" t="n">
        <f aca="false" ca="false" dt2D="false" dtr="false" t="normal">H16-H17</f>
        <v>9214.675500000001</v>
      </c>
      <c r="I18" s="19" t="n">
        <f aca="false" ca="false" dt2D="false" dtr="false" t="normal">I16-I17</f>
        <v>11171.717799999999</v>
      </c>
      <c r="J18" s="19" t="n">
        <f aca="false" ca="false" dt2D="false" dtr="false" t="normal">J16-J17</f>
        <v>13178.7601</v>
      </c>
      <c r="K18" s="19" t="n">
        <f aca="false" ca="false" dt2D="false" dtr="false" t="normal">K16-K17</f>
        <v>15330.032299999999</v>
      </c>
      <c r="L18" s="19" t="n">
        <f aca="false" ca="false" dt2D="false" dtr="false" t="normal">L16-L17</f>
        <v>17660.791100000002</v>
      </c>
      <c r="M18" s="19" t="n">
        <f aca="false" ca="false" dt2D="false" dtr="false" t="normal">M16-M17</f>
        <v>20135.779799999997</v>
      </c>
      <c r="N18" s="18" t="n">
        <f aca="false" ca="false" dt2D="false" dtr="false" t="normal">SUM(B18:M18)</f>
        <v>103052.41209999999</v>
      </c>
    </row>
    <row outlineLevel="0" r="19">
      <c r="A19" s="5" t="s">
        <v>100</v>
      </c>
      <c r="B19" s="18" t="n">
        <f aca="false" ca="false" dt2D="false" dtr="false" t="normal">B18</f>
        <v>-9614.765899999999</v>
      </c>
      <c r="C19" s="18" t="n">
        <f aca="false" ca="false" dt2D="false" dtr="false" t="normal">B19+C18</f>
        <v>-5805.179199999999</v>
      </c>
      <c r="D19" s="18" t="n">
        <f aca="false" ca="false" dt2D="false" dtr="false" t="normal">C19+D18</f>
        <v>-571.2398999999987</v>
      </c>
      <c r="E19" s="18" t="n">
        <f aca="false" ca="false" dt2D="false" dtr="false" t="normal">D19+E18</f>
        <v>3175.511800000001</v>
      </c>
      <c r="F19" s="18" t="n">
        <f aca="false" ca="false" dt2D="false" dtr="false" t="normal">E19+F18</f>
        <v>8764.5625</v>
      </c>
      <c r="G19" s="18" t="n">
        <f aca="false" ca="false" dt2D="false" dtr="false" t="normal">F19+G18</f>
        <v>16360.6555</v>
      </c>
      <c r="H19" s="18" t="n">
        <f aca="false" ca="false" dt2D="false" dtr="false" t="normal">G19+H18</f>
        <v>25575.331000000002</v>
      </c>
      <c r="I19" s="18" t="n">
        <f aca="false" ca="false" dt2D="false" dtr="false" t="normal">H19+I18</f>
        <v>36747.048800000004</v>
      </c>
      <c r="J19" s="18" t="n">
        <f aca="false" ca="false" dt2D="false" dtr="false" t="normal">I19+J18</f>
        <v>49925.8089</v>
      </c>
      <c r="K19" s="18" t="n">
        <f aca="false" ca="false" dt2D="false" dtr="false" t="normal">J19+K18</f>
        <v>65255.8412</v>
      </c>
      <c r="L19" s="18" t="n">
        <f aca="false" ca="false" dt2D="false" dtr="false" t="normal">K19+L18</f>
        <v>82916.6323</v>
      </c>
      <c r="M19" s="18" t="n">
        <f aca="false" ca="false" dt2D="false" dtr="false" t="normal">L19+M18</f>
        <v>103052.41209999999</v>
      </c>
      <c r="N19" s="18" t="n">
        <f aca="false" ca="false" dt2D="false" dtr="false" t="normal">M19</f>
        <v>103052.41209999999</v>
      </c>
    </row>
    <row outlineLevel="0" r="20">
      <c r="A20" s="2" t="s">
        <v>101</v>
      </c>
      <c r="B20" s="12" t="n">
        <f aca="false" ca="false" dt2D="false" dtr="false" t="normal">IF(B16&gt;=0, 1, 0)</f>
        <v>1</v>
      </c>
      <c r="C20" s="12" t="n">
        <f aca="false" ca="false" dt2D="false" dtr="false" t="normal">IF(C16&gt;=0, 1, 0)</f>
        <v>1</v>
      </c>
      <c r="D20" s="12" t="n">
        <f aca="false" ca="false" dt2D="false" dtr="false" t="normal">IF(D16&gt;=0, 1, 0)</f>
        <v>1</v>
      </c>
      <c r="E20" s="12" t="n">
        <f aca="false" ca="false" dt2D="false" dtr="false" t="normal">IF(E16&gt;=0, 1, 0)</f>
        <v>1</v>
      </c>
      <c r="F20" s="12" t="n">
        <f aca="false" ca="false" dt2D="false" dtr="false" t="normal">IF(F16&gt;=0, 1, 0)</f>
        <v>1</v>
      </c>
      <c r="G20" s="12" t="n">
        <f aca="false" ca="false" dt2D="false" dtr="false" t="normal">IF(G16&gt;=0, 1, 0)</f>
        <v>1</v>
      </c>
      <c r="H20" s="12" t="n">
        <f aca="false" ca="false" dt2D="false" dtr="false" t="normal">IF(H16&gt;=0, 1, 0)</f>
        <v>1</v>
      </c>
      <c r="I20" s="12" t="n">
        <f aca="false" ca="false" dt2D="false" dtr="false" t="normal">IF(I16&gt;=0, 1, 0)</f>
        <v>1</v>
      </c>
      <c r="J20" s="12" t="n">
        <f aca="false" ca="false" dt2D="false" dtr="false" t="normal">IF(J16&gt;=0, 1, 0)</f>
        <v>1</v>
      </c>
      <c r="K20" s="12" t="n">
        <f aca="false" ca="false" dt2D="false" dtr="false" t="normal">IF(K16&gt;=0, 1, 0)</f>
        <v>1</v>
      </c>
      <c r="L20" s="12" t="n">
        <f aca="false" ca="false" dt2D="false" dtr="false" t="normal">IF(L16&gt;=0, 1, 0)</f>
        <v>1</v>
      </c>
      <c r="M20" s="12" t="n">
        <f aca="false" ca="false" dt2D="false" dtr="false" t="normal">IF(M16&gt;=0, 1, 0)</f>
        <v>1</v>
      </c>
    </row>
    <row outlineLevel="0" r="21">
      <c r="A21" s="2" t="s">
        <v>102</v>
      </c>
      <c r="B21" s="12" t="n">
        <f aca="false" ca="false" dt2D="false" dtr="false" t="normal">IF(B19&gt;=0, 1, 0)</f>
        <v>0</v>
      </c>
      <c r="C21" s="12" t="n">
        <f aca="false" ca="false" dt2D="false" dtr="false" t="normal">IF(C19&gt;=0, 1, 0)</f>
        <v>0</v>
      </c>
      <c r="D21" s="12" t="n">
        <f aca="false" ca="false" dt2D="false" dtr="false" t="normal">IF(D19&gt;=0, 1, 0)</f>
        <v>0</v>
      </c>
      <c r="E21" s="12" t="n">
        <f aca="false" ca="false" dt2D="false" dtr="false" t="normal">IF(E19&gt;=0, 1, 0)</f>
        <v>1</v>
      </c>
      <c r="F21" s="12" t="n">
        <f aca="false" ca="false" dt2D="false" dtr="false" t="normal">IF(F19&gt;=0, 1, 0)</f>
        <v>1</v>
      </c>
      <c r="G21" s="12" t="n">
        <f aca="false" ca="false" dt2D="false" dtr="false" t="normal">IF(G19&gt;=0, 1, 0)</f>
        <v>1</v>
      </c>
      <c r="H21" s="12" t="n">
        <f aca="false" ca="false" dt2D="false" dtr="false" t="normal">IF(H19&gt;=0, 1, 0)</f>
        <v>1</v>
      </c>
      <c r="I21" s="12" t="n">
        <f aca="false" ca="false" dt2D="false" dtr="false" t="normal">IF(I19&gt;=0, 1, 0)</f>
        <v>1</v>
      </c>
      <c r="J21" s="12" t="n">
        <f aca="false" ca="false" dt2D="false" dtr="false" t="normal">IF(J19&gt;=0, 1, 0)</f>
        <v>1</v>
      </c>
      <c r="K21" s="12" t="n">
        <f aca="false" ca="false" dt2D="false" dtr="false" t="normal">IF(K19&gt;=0, 1, 0)</f>
        <v>1</v>
      </c>
      <c r="L21" s="12" t="n">
        <f aca="false" ca="false" dt2D="false" dtr="false" t="normal">IF(L19&gt;=0, 1, 0)</f>
        <v>1</v>
      </c>
      <c r="M21" s="12" t="n">
        <f aca="false" ca="false" dt2D="false" dtr="false" t="normal">IF(M19&gt;=0, 1, 0)</f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E32"/>
  <sheetViews>
    <sheetView showZeros="true" workbookViewId="0">
      <pane activePane="bottomRight" state="frozen" topLeftCell="B4" xSplit="1" ySplit="3"/>
    </sheetView>
  </sheetViews>
  <sheetFormatPr baseColWidth="8" customHeight="false" defaultColWidth="9.14062530925693" defaultRowHeight="15" zeroHeight="false"/>
  <cols>
    <col customWidth="true" max="1" min="1" outlineLevel="0" width="45.9999983083382"/>
    <col customWidth="true" max="4" min="2" outlineLevel="0" width="16.9999994925015"/>
    <col customWidth="true" max="5" min="5" outlineLevel="0" width="70.0000023683265"/>
  </cols>
  <sheetData>
    <row outlineLevel="0" r="1">
      <c r="A1" s="1" t="s">
        <v>105</v>
      </c>
    </row>
    <row outlineLevel="0" r="2">
      <c r="A2" s="2" t="s">
        <v>106</v>
      </c>
    </row>
    <row outlineLevel="0" r="3">
      <c r="A3" s="3" t="s">
        <v>2</v>
      </c>
      <c r="B3" s="3" t="s">
        <v>3</v>
      </c>
      <c r="C3" s="3" t="s">
        <v>4</v>
      </c>
      <c r="D3" s="3" t="s">
        <v>5</v>
      </c>
      <c r="E3" s="3" t="s">
        <v>107</v>
      </c>
    </row>
    <row outlineLevel="0" r="4">
      <c r="A4" s="11" t="s">
        <v>108</v>
      </c>
    </row>
    <row outlineLevel="0" r="5">
      <c r="A5" s="2" t="s">
        <v>109</v>
      </c>
      <c r="B5" s="16" t="n">
        <f aca="false" ca="false" dt2D="false" dtr="false" t="normal">'Допущения'!$B$7</f>
        <v>66.60833333333333</v>
      </c>
      <c r="C5" s="16" t="n">
        <f aca="false" ca="false" dt2D="false" dtr="false" t="normal">'Допущения'!$B$7</f>
        <v>66.60833333333333</v>
      </c>
      <c r="D5" s="16" t="n">
        <f aca="false" ca="false" dt2D="false" dtr="false" t="normal">'Допущения'!$B$7</f>
        <v>66.60833333333333</v>
      </c>
      <c r="E5" s="2" t="s">
        <v>110</v>
      </c>
    </row>
    <row outlineLevel="0" r="6">
      <c r="A6" s="2" t="s">
        <v>111</v>
      </c>
      <c r="B6" s="16" t="n">
        <f aca="false" ca="false" dt2D="false" dtr="false" t="normal">'Допущения'!$B$7*'Допущения'!$B$8</f>
        <v>1.8650333333333333</v>
      </c>
      <c r="C6" s="16" t="n">
        <f aca="false" ca="false" dt2D="false" dtr="false" t="normal">'Допущения'!$B$7*'Допущения'!$B$8</f>
        <v>1.8650333333333333</v>
      </c>
      <c r="D6" s="16" t="n">
        <f aca="false" ca="false" dt2D="false" dtr="false" t="normal">'Допущения'!$B$7*'Допущения'!$B$8</f>
        <v>1.8650333333333333</v>
      </c>
      <c r="E6" s="2" t="s">
        <v>112</v>
      </c>
    </row>
    <row outlineLevel="0" r="7">
      <c r="A7" s="5" t="s">
        <v>113</v>
      </c>
      <c r="B7" s="20" t="n">
        <f aca="false" ca="false" dt2D="false" dtr="false" t="normal">B5-B6</f>
        <v>64.7433</v>
      </c>
      <c r="C7" s="20" t="n">
        <f aca="false" ca="false" dt2D="false" dtr="false" t="normal">C5-C6</f>
        <v>64.7433</v>
      </c>
      <c r="D7" s="20" t="n">
        <f aca="false" ca="false" dt2D="false" dtr="false" t="normal">D5-D6</f>
        <v>64.7433</v>
      </c>
      <c r="E7" s="2" t="s">
        <v>114</v>
      </c>
    </row>
    <row outlineLevel="0" r="8">
      <c r="A8" s="5" t="s">
        <v>14</v>
      </c>
      <c r="B8" s="21" t="n">
        <f aca="false" ca="false" dt2D="false" dtr="false" t="normal">B7/B5</f>
        <v>0.9720000000000001</v>
      </c>
      <c r="C8" s="21" t="n">
        <f aca="false" ca="false" dt2D="false" dtr="false" t="normal">C7/C5</f>
        <v>0.9720000000000001</v>
      </c>
      <c r="D8" s="21" t="n">
        <f aca="false" ca="false" dt2D="false" dtr="false" t="normal">D7/D5</f>
        <v>0.9720000000000001</v>
      </c>
      <c r="E8" s="2" t="s">
        <v>115</v>
      </c>
    </row>
    <row outlineLevel="0" r="10">
      <c r="A10" s="11" t="s">
        <v>116</v>
      </c>
    </row>
    <row outlineLevel="0" r="11">
      <c r="A11" s="2" t="s">
        <v>117</v>
      </c>
      <c r="B11" s="19" t="n">
        <f aca="false" ca="false" dt2D="false" dtr="false" t="normal">SUM('План_Пессимистичный'!B10:D13)/3</f>
        <v>2600</v>
      </c>
      <c r="C11" s="19" t="n">
        <f aca="false" ca="false" dt2D="false" dtr="false" t="normal">SUM('План_Базовый'!B10:D13)/3</f>
        <v>2600</v>
      </c>
      <c r="D11" s="19" t="n">
        <f aca="false" ca="false" dt2D="false" dtr="false" t="normal">SUM('План_Оптимистичный'!B10:D13)/3</f>
        <v>2600</v>
      </c>
      <c r="E11" s="2" t="s">
        <v>118</v>
      </c>
    </row>
    <row outlineLevel="0" r="12">
      <c r="A12" s="2" t="s">
        <v>119</v>
      </c>
      <c r="B12" s="19" t="n">
        <f aca="false" ca="false" dt2D="false" dtr="false" t="normal">SUM('План_Пессимистичный'!E10:M13)/9</f>
        <v>3038.8888888888887</v>
      </c>
      <c r="C12" s="19" t="n">
        <f aca="false" ca="false" dt2D="false" dtr="false" t="normal">SUM('План_Базовый'!E10:M13)/9</f>
        <v>4038.8888888888887</v>
      </c>
      <c r="D12" s="19" t="n">
        <f aca="false" ca="false" dt2D="false" dtr="false" t="normal">SUM('План_Оптимистичный'!E10:M13)/9</f>
        <v>6038.888888888889</v>
      </c>
      <c r="E12" s="2" t="s">
        <v>120</v>
      </c>
    </row>
    <row outlineLevel="0" r="13">
      <c r="A13" s="5" t="s">
        <v>121</v>
      </c>
      <c r="B13" s="18" t="n">
        <f aca="false" ca="false" dt2D="false" dtr="false" t="normal">ROUNDUP(B11/B7, 0)</f>
        <v>41</v>
      </c>
      <c r="C13" s="18" t="n">
        <f aca="false" ca="false" dt2D="false" dtr="false" t="normal">ROUNDUP(C11/C7, 0)</f>
        <v>41</v>
      </c>
      <c r="D13" s="18" t="n">
        <f aca="false" ca="false" dt2D="false" dtr="false" t="normal">ROUNDUP(D11/D7, 0)</f>
        <v>41</v>
      </c>
      <c r="E13" s="2" t="s">
        <v>122</v>
      </c>
    </row>
    <row outlineLevel="0" r="14">
      <c r="A14" s="5" t="s">
        <v>123</v>
      </c>
      <c r="B14" s="22" t="n">
        <f aca="false" ca="false" dt2D="false" dtr="false" t="normal">ROUNDUP(B12/B7, 0)</f>
        <v>47</v>
      </c>
      <c r="C14" s="22" t="n">
        <f aca="false" ca="false" dt2D="false" dtr="false" t="normal">ROUNDUP(C12/C7, 0)</f>
        <v>63</v>
      </c>
      <c r="D14" s="22" t="n">
        <f aca="false" ca="false" dt2D="false" dtr="false" t="normal">ROUNDUP(D12/D7, 0)</f>
        <v>94</v>
      </c>
      <c r="E14" s="2" t="s">
        <v>122</v>
      </c>
    </row>
    <row outlineLevel="0" r="15">
      <c r="A15" s="2" t="s">
        <v>124</v>
      </c>
      <c r="B15" s="19" t="n">
        <f aca="false" ca="false" dt2D="false" dtr="false" t="normal">B12/B8</f>
        <v>3126.4288980338356</v>
      </c>
      <c r="C15" s="19" t="n">
        <f aca="false" ca="false" dt2D="false" dtr="false" t="normal">C12/C8</f>
        <v>4155.235482395976</v>
      </c>
      <c r="D15" s="19" t="n">
        <f aca="false" ca="false" dt2D="false" dtr="false" t="normal">D12/D8</f>
        <v>6212.848651120255</v>
      </c>
      <c r="E15" s="2" t="s">
        <v>125</v>
      </c>
    </row>
    <row outlineLevel="0" r="16">
      <c r="A16" s="2" t="s">
        <v>126</v>
      </c>
      <c r="B16" s="19" t="n">
        <f aca="false" ca="false" dt2D="false" dtr="false" t="normal">'План_Пессимистичный'!M7</f>
        <v>27</v>
      </c>
      <c r="C16" s="19" t="n">
        <f aca="false" ca="false" dt2D="false" dtr="false" t="normal">'План_Базовый'!M7</f>
        <v>132</v>
      </c>
      <c r="D16" s="19" t="n">
        <f aca="false" ca="false" dt2D="false" dtr="false" t="normal">'План_Оптимистичный'!M7</f>
        <v>405.99999999999994</v>
      </c>
      <c r="E16" s="2" t="s">
        <v>127</v>
      </c>
    </row>
    <row outlineLevel="0" r="17">
      <c r="A17" s="2" t="s">
        <v>128</v>
      </c>
      <c r="B17" s="23" t="n">
        <f aca="false" ca="false" dt2D="false" dtr="false" t="normal">IF(B16=0, 0, (B16-B14)/B16)</f>
        <v>-0.7407407407407407</v>
      </c>
      <c r="C17" s="23" t="n">
        <f aca="false" ca="false" dt2D="false" dtr="false" t="normal">IF(C16=0, 0, (C16-C14)/C16)</f>
        <v>0.5227272727272727</v>
      </c>
      <c r="D17" s="23" t="n">
        <f aca="false" ca="false" dt2D="false" dtr="false" t="normal">IF(D16=0, 0, (D16-D14)/D16)</f>
        <v>0.7684729064039408</v>
      </c>
      <c r="E17" s="2" t="s">
        <v>129</v>
      </c>
    </row>
    <row outlineLevel="0" r="18">
      <c r="A18" s="13" t="s">
        <v>130</v>
      </c>
      <c r="B18" s="23" t="n">
        <f aca="false" ca="false" dt2D="false" dtr="false" t="normal">IF('План_Пессимистичный'!M6=0, 0, B14/'План_Пессимистичный'!M6)</f>
        <v>0.13988095238095238</v>
      </c>
      <c r="C18" s="23" t="n">
        <f aca="false" ca="false" dt2D="false" dtr="false" t="normal">IF('План_Базовый'!M6=0, 0, C14/'План_Базовый'!M6)</f>
        <v>0.0715909090909091</v>
      </c>
      <c r="D18" s="23" t="n">
        <f aca="false" ca="false" dt2D="false" dtr="false" t="normal">IF('План_Оптимистичный'!M6=0, 0, D14/'План_Оптимистичный'!M6)</f>
        <v>0.05094850948509485</v>
      </c>
      <c r="E18" s="2" t="s">
        <v>131</v>
      </c>
    </row>
    <row outlineLevel="0" r="19">
      <c r="A19" s="2" t="s">
        <v>132</v>
      </c>
      <c r="B19" s="12" t="str">
        <f aca="false" ca="false" dt2D="false" dtr="false" t="normal">IFERROR(MATCH(1, 'План_Пессимистичный'!B20:M20, 0), "не достигается")</f>
        <v>не достигается</v>
      </c>
      <c r="C19" s="12" t="n">
        <f aca="false" ca="false" dt2D="false" dtr="false" t="normal">IFERROR(MATCH(1, 'План_Базовый'!B20:M20, 0), "не достигается")</f>
        <v>3</v>
      </c>
      <c r="D19" s="12" t="n">
        <f aca="false" ca="false" dt2D="false" dtr="false" t="normal">IFERROR(MATCH(1, 'План_Оптимистичный'!B20:M20, 0), "не достигается")</f>
        <v>1</v>
      </c>
      <c r="E19" s="2" t="s">
        <v>133</v>
      </c>
    </row>
    <row outlineLevel="0" r="20">
      <c r="A20" s="2" t="s">
        <v>134</v>
      </c>
      <c r="B20" s="12" t="str">
        <f aca="false" ca="false" dt2D="false" dtr="false" t="normal">IFERROR(MATCH(1, 'План_Пессимистичный'!B21:M21, 0), "не за 12 мес.")</f>
        <v>не за 12 мес.</v>
      </c>
      <c r="C20" s="12" t="n">
        <f aca="false" ca="false" dt2D="false" dtr="false" t="normal">IFERROR(MATCH(1, 'План_Базовый'!B21:M21, 0), "не за 12 мес.")</f>
        <v>11</v>
      </c>
      <c r="D20" s="12" t="n">
        <f aca="false" ca="false" dt2D="false" dtr="false" t="normal">IFERROR(MATCH(1, 'План_Оптимистичный'!B21:M21, 0), "не за 12 мес.")</f>
        <v>4</v>
      </c>
      <c r="E20" s="2" t="s">
        <v>135</v>
      </c>
    </row>
    <row outlineLevel="0" r="22">
      <c r="A22" s="11" t="s">
        <v>136</v>
      </c>
    </row>
    <row outlineLevel="0" r="23">
      <c r="A23" s="2" t="s">
        <v>137</v>
      </c>
      <c r="B23" s="19" t="n">
        <f aca="false" ca="false" dt2D="false" dtr="false" t="normal">'План_Пессимистичный'!N8</f>
        <v>13454.883333333333</v>
      </c>
      <c r="C23" s="19" t="n">
        <f aca="false" ca="false" dt2D="false" dtr="false" t="normal">'План_Базовый'!N8</f>
        <v>62811.65833333334</v>
      </c>
      <c r="D23" s="19" t="n">
        <f aca="false" ca="false" dt2D="false" dtr="false" t="normal">'План_Оптимистичный'!N8</f>
        <v>182307.00833333336</v>
      </c>
      <c r="E23" s="2" t="s">
        <v>138</v>
      </c>
    </row>
    <row outlineLevel="0" r="24">
      <c r="A24" s="2" t="s">
        <v>139</v>
      </c>
      <c r="B24" s="19" t="n">
        <f aca="false" ca="false" dt2D="false" dtr="false" t="normal">'План_Пессимистичный'!N15</f>
        <v>35526.73673333334</v>
      </c>
      <c r="C24" s="19" t="n">
        <f aca="false" ca="false" dt2D="false" dtr="false" t="normal">'План_Базовый'!N15</f>
        <v>45908.72643333332</v>
      </c>
      <c r="D24" s="19" t="n">
        <f aca="false" ca="false" dt2D="false" dtr="false" t="normal">'План_Оптимистичный'!N15</f>
        <v>67254.59623333334</v>
      </c>
      <c r="E24" s="2" t="s">
        <v>138</v>
      </c>
    </row>
    <row outlineLevel="0" r="25">
      <c r="A25" s="5" t="s">
        <v>10</v>
      </c>
      <c r="B25" s="18" t="n">
        <f aca="false" ca="false" dt2D="false" dtr="false" t="normal">B23-B24</f>
        <v>-22071.853400000007</v>
      </c>
      <c r="C25" s="18" t="n">
        <f aca="false" ca="false" dt2D="false" dtr="false" t="normal">C23-C24</f>
        <v>16902.931900000018</v>
      </c>
      <c r="D25" s="18" t="n">
        <f aca="false" ca="false" dt2D="false" dtr="false" t="normal">D23-D24</f>
        <v>115052.41210000002</v>
      </c>
      <c r="E25" s="2" t="s">
        <v>140</v>
      </c>
    </row>
    <row outlineLevel="0" r="26">
      <c r="A26" s="5" t="s">
        <v>15</v>
      </c>
      <c r="B26" s="21" t="n">
        <f aca="false" ca="false" dt2D="false" dtr="false" t="normal">IF(B23=0, 0, B25/B23)</f>
        <v>-1.6404343949470643</v>
      </c>
      <c r="C26" s="21" t="n">
        <f aca="false" ca="false" dt2D="false" dtr="false" t="normal">IF(C23=0, 0, C25/C23)</f>
        <v>0.26910500930095405</v>
      </c>
      <c r="D26" s="21" t="n">
        <f aca="false" ca="false" dt2D="false" dtr="false" t="normal">IF(D23=0, 0, D25/D23)</f>
        <v>0.6310915479981776</v>
      </c>
      <c r="E26" s="2" t="s">
        <v>141</v>
      </c>
    </row>
    <row outlineLevel="0" r="27">
      <c r="A27" s="2" t="s">
        <v>142</v>
      </c>
      <c r="B27" s="19" t="n">
        <f aca="false" ca="false" dt2D="false" dtr="false" t="normal">IF('План_Пессимистичный'!M7=0, 0, 'План_Пессимистичный'!N11/'План_Пессимистичный'!M7)</f>
        <v>888.8888888888889</v>
      </c>
      <c r="C27" s="19" t="n">
        <f aca="false" ca="false" dt2D="false" dtr="false" t="normal">IF('План_Базовый'!M7=0, 0, 'План_Базовый'!N11/'План_Базовый'!M7)</f>
        <v>250</v>
      </c>
      <c r="D27" s="19" t="n">
        <f aca="false" ca="false" dt2D="false" dtr="false" t="normal">IF('План_Оптимистичный'!M7=0, 0, 'План_Оптимистичный'!N11/'План_Оптимистичный'!M7)</f>
        <v>125.61576354679805</v>
      </c>
      <c r="E27" s="2" t="s">
        <v>143</v>
      </c>
    </row>
    <row outlineLevel="0" r="28">
      <c r="A28" s="2" t="s">
        <v>144</v>
      </c>
      <c r="B28" s="16" t="n">
        <f aca="false" ca="false" dt2D="false" dtr="false" t="normal">1/'Допущения'!B18</f>
        <v>25</v>
      </c>
      <c r="C28" s="16" t="n">
        <f aca="false" ca="false" dt2D="false" dtr="false" t="normal">1/'Допущения'!C18</f>
        <v>25</v>
      </c>
      <c r="D28" s="16" t="n">
        <f aca="false" ca="false" dt2D="false" dtr="false" t="normal">1/'Допущения'!D18</f>
        <v>25</v>
      </c>
      <c r="E28" s="2" t="s">
        <v>145</v>
      </c>
    </row>
    <row outlineLevel="0" r="29">
      <c r="A29" s="2" t="s">
        <v>146</v>
      </c>
      <c r="B29" s="16" t="n">
        <f aca="false" ca="false" dt2D="false" dtr="false" t="normal">1/'Допущения'!B17</f>
        <v>6.666666666666667</v>
      </c>
      <c r="C29" s="16" t="n">
        <f aca="false" ca="false" dt2D="false" dtr="false" t="normal">1/'Допущения'!C17</f>
        <v>10</v>
      </c>
      <c r="D29" s="16" t="n">
        <f aca="false" ca="false" dt2D="false" dtr="false" t="normal">1/'Допущения'!D17</f>
        <v>14.285714285714285</v>
      </c>
      <c r="E29" s="2" t="s">
        <v>145</v>
      </c>
    </row>
    <row outlineLevel="0" r="30">
      <c r="A30" s="5" t="s">
        <v>147</v>
      </c>
      <c r="B30" s="18" t="n">
        <f aca="false" ca="false" dt2D="false" dtr="false" t="normal">('Допущения'!$B$6*'Допущения'!$B$4/12*B28+(1-'Допущения'!$B$6)*'Допущения'!$B$5*B29)*(1-'Допущения'!$B$8)</f>
        <v>1001.1194999999999</v>
      </c>
      <c r="C30" s="18" t="n">
        <f aca="false" ca="false" dt2D="false" dtr="false" t="normal">('Допущения'!$B$6*'Допущения'!$B$4/12*C28+(1-'Допущения'!$B$6)*'Допущения'!$B$5*C29)*(1-'Допущения'!$B$8)</f>
        <v>1113.3854999999999</v>
      </c>
      <c r="D30" s="18" t="n">
        <f aca="false" ca="false" dt2D="false" dtr="false" t="normal">('Допущения'!$B$6*'Допущения'!$B$4/12*D28+(1-'Допущения'!$B$6)*'Допущения'!$B$5*D29)*(1-'Допущения'!$B$8)</f>
        <v>1257.7275</v>
      </c>
      <c r="E30" s="2" t="s">
        <v>148</v>
      </c>
    </row>
    <row outlineLevel="0" r="31">
      <c r="A31" s="5" t="s">
        <v>18</v>
      </c>
      <c r="B31" s="24" t="n">
        <f aca="false" ca="false" dt2D="false" dtr="false" t="normal">IF(B27=0, 0, B30/B27)</f>
        <v>1.1262594375</v>
      </c>
      <c r="C31" s="24" t="n">
        <f aca="false" ca="false" dt2D="false" dtr="false" t="normal">IF(C27=0, 0, C30/C27)</f>
        <v>4.453542</v>
      </c>
      <c r="D31" s="24" t="n">
        <f aca="false" ca="false" dt2D="false" dtr="false" t="normal">IF(D27=0, 0, D30/D27)</f>
        <v>10.012497352941175</v>
      </c>
      <c r="E31" s="13" t="s">
        <v>149</v>
      </c>
    </row>
    <row outlineLevel="0" r="32">
      <c r="A32" s="2" t="s">
        <v>150</v>
      </c>
      <c r="B32" s="16" t="n">
        <f aca="false" ca="false" dt2D="false" dtr="false" t="normal">IF(B7=0, 0, B27/B7)</f>
        <v>13.729434379910954</v>
      </c>
      <c r="C32" s="16" t="n">
        <f aca="false" ca="false" dt2D="false" dtr="false" t="normal">IF(C7=0, 0, C27/C7)</f>
        <v>3.861403419349956</v>
      </c>
      <c r="D32" s="16" t="n">
        <f aca="false" ca="false" dt2D="false" dtr="false" t="normal">IF(D7=0, 0, D27/D7)</f>
        <v>1.940212555535446</v>
      </c>
      <c r="E32" s="2" t="s">
        <v>151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MyOffice-CoreFramework-macOS/31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2026-10-07T15:43:56Z</dcterms:modified>
</cp:coreProperties>
</file>